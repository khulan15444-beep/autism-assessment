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Хонгорзул\Сургалт\"/>
    </mc:Choice>
  </mc:AlternateContent>
  <bookViews>
    <workbookView xWindow="0" yWindow="0" windowWidth="28800" windowHeight="12330" activeTab="1"/>
  </bookViews>
  <sheets>
    <sheet name="Эх хувь" sheetId="1" r:id="rId1"/>
    <sheet name="Амартайван" sheetId="4" r:id="rId2"/>
    <sheet name="Жишээ" sheetId="2" r:id="rId3"/>
    <sheet name="Sheet2" sheetId="3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7" i="4" l="1"/>
  <c r="J7" i="4"/>
  <c r="O6" i="4"/>
  <c r="J19" i="4" s="1"/>
  <c r="N6" i="4"/>
  <c r="J18" i="4" s="1"/>
  <c r="M6" i="4"/>
  <c r="M7" i="4" s="1"/>
  <c r="L6" i="4"/>
  <c r="L7" i="4" s="1"/>
  <c r="K6" i="4"/>
  <c r="J15" i="4" s="1"/>
  <c r="J6" i="4"/>
  <c r="J14" i="4" s="1"/>
  <c r="I6" i="4"/>
  <c r="I7" i="4" s="1"/>
  <c r="H6" i="4"/>
  <c r="H7" i="4" s="1"/>
  <c r="G6" i="4"/>
  <c r="J11" i="4" s="1"/>
  <c r="F6" i="4"/>
  <c r="J10" i="4" s="1"/>
  <c r="J10" i="2"/>
  <c r="J19" i="2"/>
  <c r="O7" i="2"/>
  <c r="J18" i="2"/>
  <c r="N7" i="2"/>
  <c r="J17" i="2"/>
  <c r="M7" i="2"/>
  <c r="J16" i="2"/>
  <c r="L7" i="2"/>
  <c r="J15" i="2"/>
  <c r="K7" i="2"/>
  <c r="J14" i="2"/>
  <c r="J7" i="2"/>
  <c r="J13" i="2"/>
  <c r="I7" i="2"/>
  <c r="J12" i="2"/>
  <c r="H7" i="2"/>
  <c r="J11" i="2"/>
  <c r="G7" i="2"/>
  <c r="F7" i="2"/>
  <c r="F6" i="2"/>
  <c r="G6" i="2"/>
  <c r="O6" i="2"/>
  <c r="N6" i="2"/>
  <c r="M6" i="2"/>
  <c r="L6" i="2"/>
  <c r="K6" i="2"/>
  <c r="J6" i="2"/>
  <c r="I6" i="2"/>
  <c r="H6" i="2"/>
  <c r="F7" i="4" l="1"/>
  <c r="J12" i="4"/>
  <c r="J16" i="4"/>
  <c r="G7" i="4"/>
  <c r="K7" i="4"/>
  <c r="O7" i="4"/>
  <c r="J13" i="4"/>
  <c r="J17" i="4"/>
</calcChain>
</file>

<file path=xl/sharedStrings.xml><?xml version="1.0" encoding="utf-8"?>
<sst xmlns="http://schemas.openxmlformats.org/spreadsheetml/2006/main" count="1234" uniqueCount="343">
  <si>
    <t>"Аутизм Монгол-АНД" ТББ ганцаарчилсан сургалтын үнэлгээ</t>
  </si>
  <si>
    <t xml:space="preserve">Нэр: </t>
  </si>
  <si>
    <t>Хөдөлгөөн булчингийн чадвар</t>
  </si>
  <si>
    <t>Булчингийн даган дууралт</t>
  </si>
  <si>
    <t>Код</t>
  </si>
  <si>
    <t>Даалгавар</t>
  </si>
  <si>
    <t>Үнэлгээ</t>
  </si>
  <si>
    <t>Оноо</t>
  </si>
  <si>
    <t>Тэмдэглэл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</si>
  <si>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</si>
  <si>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</si>
  <si>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</si>
  <si>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</si>
  <si>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</si>
  <si>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</si>
  <si>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</si>
  <si>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</si>
  <si>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</si>
  <si>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</si>
  <si>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</si>
  <si>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</si>
  <si>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D13</t>
  </si>
  <si>
    <t>D14</t>
  </si>
  <si>
    <t>D15</t>
  </si>
  <si>
    <t>D16</t>
  </si>
  <si>
    <t>D17</t>
  </si>
  <si>
    <t>D18</t>
  </si>
  <si>
    <t>D19</t>
  </si>
  <si>
    <t>D20</t>
  </si>
  <si>
    <t>Объект ашиглан хөдөлгөөн дуурайх</t>
  </si>
  <si>
    <t>Ялгаатай объектуудыг ашиглан хөдөлгөөн дуурайх</t>
  </si>
  <si>
    <t>Аман заавар өгөх үед том булчингийн хөдөлгөөнийг дуурайх</t>
  </si>
  <si>
    <t>Хөлийн хөдөлгөөнийг дуурайх</t>
  </si>
  <si>
    <t>Гарын хөдөлгөөнийг дуурайх</t>
  </si>
  <si>
    <t>Хурууны хөдөлгөөнийг дуурайх</t>
  </si>
  <si>
    <t>Хөдөлгөөнтэй болон хөдөлгөөнгүй хөдөлгөөний ялгааг дуурайх</t>
  </si>
  <si>
    <t>Том булчингийн хөдөлгөөнийг толинд загварчлах</t>
  </si>
  <si>
    <t>Толгойн хөдөлгөөнийг дуурайх</t>
  </si>
  <si>
    <t>Ам болон хэлний хөдөлгөөнийг дуурайх</t>
  </si>
  <si>
    <t>Нүүрний хөдөлгөөнийг дуурайх</t>
  </si>
  <si>
    <t>Нарийн булчингийн хөдөлгөөнийг дуурайх</t>
  </si>
  <si>
    <t>Эд зүйлсийн дарааллын дагуу хүрэх үйлдлийг дуурайх</t>
  </si>
  <si>
    <t>Эд зүйлд үзүүлсэн дарааллын дагуу хүрэх үйлдлийг дуурайх</t>
  </si>
  <si>
    <t>Үзүүлсэн дарааллын дагуу хөдөлгөөний шилжих үйлдлийг дуурайх</t>
  </si>
  <si>
    <t>Үйлдлийн дарааллыг дуурайх</t>
  </si>
  <si>
    <t>Булчингийн үйл ажиллагааны давталтын тоог дуурайх</t>
  </si>
  <si>
    <t>Чиглүүлэх үгэн зааваргүйгээр хөдөлгөөнийг дуурайх</t>
  </si>
  <si>
    <t>Бусдын үйлдлийг аяндаа дуурайх</t>
  </si>
  <si>
    <t>Дуурайхыг хүлээх</t>
  </si>
  <si>
    <t>Том булчин</t>
  </si>
  <si>
    <t>Y1</t>
  </si>
  <si>
    <t>Y2</t>
  </si>
  <si>
    <t>Y3</t>
  </si>
  <si>
    <t>Y4</t>
  </si>
  <si>
    <t>Y5</t>
  </si>
  <si>
    <t>Y6</t>
  </si>
  <si>
    <t>Y7</t>
  </si>
  <si>
    <t>Y8</t>
  </si>
  <si>
    <t>Y9</t>
  </si>
  <si>
    <t>Y10</t>
  </si>
  <si>
    <t>Y11</t>
  </si>
  <si>
    <t>Y12</t>
  </si>
  <si>
    <t>Y13</t>
  </si>
  <si>
    <t>Y14</t>
  </si>
  <si>
    <t>Y15</t>
  </si>
  <si>
    <t>Y16</t>
  </si>
  <si>
    <t>Y17</t>
  </si>
  <si>
    <t>Y18</t>
  </si>
  <si>
    <t>Y19</t>
  </si>
  <si>
    <t>Y20</t>
  </si>
  <si>
    <t>Y21</t>
  </si>
  <si>
    <t>Y22</t>
  </si>
  <si>
    <t>Зохистой алхмаар урагш алхах</t>
  </si>
  <si>
    <t>Жигд алхах</t>
  </si>
  <si>
    <t>Ухарч алхах</t>
  </si>
  <si>
    <t>Хажуу талаараа алхах</t>
  </si>
  <si>
    <t>Тэнцвэртэйгээр алхах</t>
  </si>
  <si>
    <t>Шатаар өсгөх (хоёр талын хөдөлгөөнтэй)</t>
  </si>
  <si>
    <t>Элгээрээ мөлхөх</t>
  </si>
  <si>
    <t>Өвдөглөх</t>
  </si>
  <si>
    <t>Суулт</t>
  </si>
  <si>
    <t>Өнхрөх</t>
  </si>
  <si>
    <t>Урагшаа үсрэх</t>
  </si>
  <si>
    <t>Доошоо үсрэх</t>
  </si>
  <si>
    <t>Хөлөө нийлүүлэн үсрэх</t>
  </si>
  <si>
    <t>Хөлөө салгаж үсрэх</t>
  </si>
  <si>
    <t>1 хөл дээрээ зогсох</t>
  </si>
  <si>
    <t>Гараараа бөмбөг шидэх</t>
  </si>
  <si>
    <t>Бөмбөг шидэх, барих</t>
  </si>
  <si>
    <t>Бөмбөгийг гараараа барьж авах</t>
  </si>
  <si>
    <t>Бөмбөг өнхрүүлэх</t>
  </si>
  <si>
    <t>Бай руу бөмбөг өшиглөх</t>
  </si>
  <si>
    <t>Бөмбөг өшиглөх</t>
  </si>
  <si>
    <t>Ямар ч аргаар бөмбөгийг авах</t>
  </si>
  <si>
    <t>0- огт хийгээгүй    1- Шалуулж байж гүйцэтгэдэг                  2- /2-3/ үйлдэл гүйцэтгэдэг                    3- /4-5/ үйлдэл гүйцэтгэдэг                  4- Бие даан гүйцэтгэх гэж оролддог                      5- Бие даан гүйцэтгэдэг.           2-4 оноо багшийн туслалцаатай.</t>
  </si>
  <si>
    <t>Нийгэмшхүй зан үйл /Өөртөө үйлчлэх чадвар/</t>
  </si>
  <si>
    <t>Бусадыг сонсохдоо эсвэл бусадтай ярилцахдаа хүний нүдрүү хардаг.</t>
  </si>
  <si>
    <t xml:space="preserve">Хуруу, гар, хөл, гарын алгаа онцгой байдлаар хөдөлгөдөг; эсвэл дороо эргэх, биеэ нааш цааш хөдөлгөх </t>
  </si>
  <si>
    <t>Маажих, толгойгоо цохих, сөрсөн арьсаа хуулах гэх мэтээр өөрийгөө гэмтээж болзошгүй үйлдэл хийдэг</t>
  </si>
  <si>
    <t>Болхи, бүдэрч, эвгүй алхаж гүйдэг</t>
  </si>
  <si>
    <t>Тоглоомыг бүтэн утгаар нь тоглохын оронд тоглоомын зарим нэг хэсгээр тоглодог. эсвэл эд зүйлсээр тоглодог (Жишээ нь; Машины дугуйг эргүүлж тоглох, гэр ахуйн хэрэгсэлээр тоглох, ганхуулах, эргүүлэх)</t>
  </si>
  <si>
    <t>Ижил зүйлээр ижил байдлаар дахин дахин тоглодог</t>
  </si>
  <si>
    <t>Тоглоом болон бусад зүйлсыг мөн чанараас нь өөрөөр харуулахаар тоглодог</t>
  </si>
  <si>
    <t>Дүрд орж, жүжиглэж тоглодог</t>
  </si>
  <si>
    <t>Нүүрний хувирал, биеийн хөдөлгөөн, хэт тэвчээргүй болох болон түгшүүр илэрдэг.</t>
  </si>
  <si>
    <t>Тухайн өөрчлөлтөд дахин дахин санаа зовж байдаг</t>
  </si>
  <si>
    <t>Өдрийн дэглэм, орчин тойрны өөрчлөлтөд дасан зохицон, даван туулдаг (гэрийн тавилга өөрчлөгдөх, хичээлийн цаг өөрчлөгдөх)</t>
  </si>
  <si>
    <t>Аливаа зүйлийг хийх тодорхой өвөрмөц дэг журам, дарааллаар өөрөө хийх болон бусдаар хийлгэх сонирхолтой</t>
  </si>
  <si>
    <t>Онцгой сонирхол болон сэдэвтэй (Жишээ нь: үлэг гүрвэл, галт тэрэг, цаг, машины марк гэх мэт)</t>
  </si>
  <si>
    <t>Зан үйлийн нэмэлт жишээ эсвэл тайлбар. Та бичиж буй жишээ, сэтгэгдэлтэй холбоотой асуултын дугаарыг заавал тэмдэглэнэ үү..................................................</t>
  </si>
  <si>
    <t xml:space="preserve">0- мэдэхгүй байна                         1- Одоо асуудал биш гэхдээ өмнө нь асуудал байсан                      2- Хүнд асуудал (Ихэвчлэн эсвэл дандаа асуудал)    3- Бага эсвэл Дунд асуудал (Заримдаа асуудал болдог)     4- Асуудал биш </t>
  </si>
  <si>
    <t>Ариун цэвэр сахих</t>
  </si>
  <si>
    <t>W1</t>
  </si>
  <si>
    <t>W2</t>
  </si>
  <si>
    <t>W3</t>
  </si>
  <si>
    <t>W4</t>
  </si>
  <si>
    <t>W5</t>
  </si>
  <si>
    <t>W6</t>
  </si>
  <si>
    <t>W7</t>
  </si>
  <si>
    <t>W8</t>
  </si>
  <si>
    <t>Гараа угаах</t>
  </si>
  <si>
    <t>Гараа хатаах /арчих/</t>
  </si>
  <si>
    <t>Нүүрээ угаах</t>
  </si>
  <si>
    <t>Нүүрээ арчих</t>
  </si>
  <si>
    <t>Үсээ самнах</t>
  </si>
  <si>
    <t>Шүдээ угаах</t>
  </si>
  <si>
    <t>Хэрэгцээтэй үед нусаа нийх</t>
  </si>
  <si>
    <t>Амаа зайлах</t>
  </si>
  <si>
    <t>W9</t>
  </si>
  <si>
    <t>Бие засах</t>
  </si>
  <si>
    <t>Хувцаслах чадвар</t>
  </si>
  <si>
    <t>U1</t>
  </si>
  <si>
    <t>U2</t>
  </si>
  <si>
    <t>U3</t>
  </si>
  <si>
    <t>U4</t>
  </si>
  <si>
    <t>U5</t>
  </si>
  <si>
    <t>U6</t>
  </si>
  <si>
    <t>U7</t>
  </si>
  <si>
    <t>U8</t>
  </si>
  <si>
    <t>U9</t>
  </si>
  <si>
    <t>U10</t>
  </si>
  <si>
    <t>U11</t>
  </si>
  <si>
    <t>U12</t>
  </si>
  <si>
    <t>U13</t>
  </si>
  <si>
    <t>Өмдөө шувталж, татах</t>
  </si>
  <si>
    <t>Гутлаа тайлж, өмсөх</t>
  </si>
  <si>
    <t>Цамц өмсөх, тайлах</t>
  </si>
  <si>
    <t>Товчтой цамц өмсөх, тайлах</t>
  </si>
  <si>
    <t>Өмдөө тайлах, өмсөх</t>
  </si>
  <si>
    <t>Оймсоо өмсөж, тайлах</t>
  </si>
  <si>
    <t>Хүрмээ өмсөж, тайлах</t>
  </si>
  <si>
    <t>Цахилгаан тайлах</t>
  </si>
  <si>
    <t>Цахилгааныг цахилгаандах</t>
  </si>
  <si>
    <t xml:space="preserve">Товчлох </t>
  </si>
  <si>
    <t>Snap ашиглах</t>
  </si>
  <si>
    <t>Хувцсаа тохируулах</t>
  </si>
  <si>
    <t>Гутлаа үдэх</t>
  </si>
  <si>
    <t>Сонирхосон зүйлээ зааж, бусадтай хуваалцдаг</t>
  </si>
  <si>
    <t>Гар хүрэхээргүй зүйлийг бусдын харцыг дагаж харах эсвэл гараар заасны дагуу хардаг</t>
  </si>
  <si>
    <t>Бусдын гаргасан нийгэмшлийн санаачлагад хариу үзүүлдэг</t>
  </si>
  <si>
    <t>Насанд хүрэгчид болон үеийхэнтэйгээ нийгэшлийн харилцааг эхлүүлдэг.</t>
  </si>
  <si>
    <t>Нөхцөл байдалдаа тохирсон олон төрлийн сэтгэл хөдлөл харуулж чаддаг (Жишээ нь:  инээмсэглэх, хөмсөг зангидах гэх мэт нүд болон нүүрний хувирал ашиглан янз бүрээр илэрхийлэх</t>
  </si>
  <si>
    <t>Бусад хүмүүс хэрхэн бодож, мэдэрч байгааг ойлгож , хариу үйлдэл үзүүлэх  (жишээ нь: зовж байгаа нэгнийг тайвшруулахыг оролдох, нөгөө хүнд таалагдана гэж бодсон учраас ямар нэг зүйл хийх)</t>
  </si>
  <si>
    <t>Нийгэмшхүй зан үйл</t>
  </si>
  <si>
    <t>Хооллох чадвар</t>
  </si>
  <si>
    <t>V1</t>
  </si>
  <si>
    <t>V2</t>
  </si>
  <si>
    <t>V3</t>
  </si>
  <si>
    <t>V4</t>
  </si>
  <si>
    <t>V5</t>
  </si>
  <si>
    <t>V6</t>
  </si>
  <si>
    <t>V7</t>
  </si>
  <si>
    <t>Хоолны өмнө гараа угаах</t>
  </si>
  <si>
    <t>Гараараа идэх</t>
  </si>
  <si>
    <t>Аяганаас уух</t>
  </si>
  <si>
    <t>Халбага ашиглах</t>
  </si>
  <si>
    <t>Ам, гараа арчих</t>
  </si>
  <si>
    <t>Ширээгээ арчих</t>
  </si>
  <si>
    <t>Хэрэгслээ хураах</t>
  </si>
  <si>
    <t>Нарийн булчингийн чадвар</t>
  </si>
  <si>
    <t>Хөвөн ашиглан бүтээл хийх</t>
  </si>
  <si>
    <t>Цаасан дээр тосон харандаагаар зурах</t>
  </si>
  <si>
    <t>Зурааснаас гаргахгүй будах</t>
  </si>
  <si>
    <t>Хурууны өндгөөрөө зураасны дагуу зурах</t>
  </si>
  <si>
    <t>Дүрс дагуулан зурах</t>
  </si>
  <si>
    <t>Дүрс будах</t>
  </si>
  <si>
    <t>Дүрсийг хайрцагт тохируулж хийх</t>
  </si>
  <si>
    <t>Puzzle – нэг ширхэг нөхөх</t>
  </si>
  <si>
    <t>Puzzle – олон ширхэг нөхөх</t>
  </si>
  <si>
    <t>Блокийг загварын дагуу өрөх</t>
  </si>
  <si>
    <t>Pegs хавтан дээр байрлуулах</t>
  </si>
  <si>
    <t>Цагаригтай эд зүйлсийг гадас руу хийх</t>
  </si>
  <si>
    <t>Нэг гар дээрх зүйлээ нөгөө гартаа тавих</t>
  </si>
  <si>
    <t>Номын хуудас эргүүлэх</t>
  </si>
  <si>
    <t>Цаас нугалах</t>
  </si>
  <si>
    <t>Хайчлах</t>
  </si>
  <si>
    <t>Хавчаар ашиглах</t>
  </si>
  <si>
    <t>Шүр хэлхэх</t>
  </si>
  <si>
    <t>Ziploc уут нээх</t>
  </si>
  <si>
    <t>Шилэн савны таг онгойлгох</t>
  </si>
  <si>
    <t>Шилэн савны таг буцааж таглах</t>
  </si>
  <si>
    <t>Цавуу шахах</t>
  </si>
  <si>
    <t>Боодол задлах</t>
  </si>
  <si>
    <t>Баримлын шавар ашиглах</t>
  </si>
  <si>
    <t>R1</t>
  </si>
  <si>
    <t>R2</t>
  </si>
  <si>
    <t>R3</t>
  </si>
  <si>
    <t>R4</t>
  </si>
  <si>
    <t>R5</t>
  </si>
  <si>
    <t>R6</t>
  </si>
  <si>
    <t>R7</t>
  </si>
  <si>
    <t>R8</t>
  </si>
  <si>
    <t>R9</t>
  </si>
  <si>
    <t>R10</t>
  </si>
  <si>
    <t>R11</t>
  </si>
  <si>
    <t>R12</t>
  </si>
  <si>
    <t>R13</t>
  </si>
  <si>
    <t>R14</t>
  </si>
  <si>
    <t>R15</t>
  </si>
  <si>
    <t>R16</t>
  </si>
  <si>
    <t>R17</t>
  </si>
  <si>
    <t>R18</t>
  </si>
  <si>
    <t>R19</t>
  </si>
  <si>
    <t>R20</t>
  </si>
  <si>
    <t>R21</t>
  </si>
  <si>
    <t>R22</t>
  </si>
  <si>
    <t>R23</t>
  </si>
  <si>
    <t>R24</t>
  </si>
  <si>
    <t>Хэл яриа- Харилцааны чадвар</t>
  </si>
  <si>
    <t>Илэрхийлэх хэл яриа</t>
  </si>
  <si>
    <t>2 хүүхэлдэйгээр тоглох</t>
  </si>
  <si>
    <t>Дугуй, дөрвөлжин, гурвалжин дүрсүүдийг нэрлэх</t>
  </si>
  <si>
    <t>Том, жижиг дүрсүүдийг нэрлэх</t>
  </si>
  <si>
    <t>5 эд зүйлийг нэрлэх</t>
  </si>
  <si>
    <t>20 зургаас 14-г зөв нэрлэх (Зурагт ном)</t>
  </si>
  <si>
    <t>4-5 үгтэй өгүүлбэрийг ашиглах</t>
  </si>
  <si>
    <t>9 үсгийг зөв нэрлэх</t>
  </si>
  <si>
    <t>1-10 хүртэлх тоог унших</t>
  </si>
  <si>
    <t>(Зурагт ном 67-р хуудас)</t>
  </si>
  <si>
    <t>3 үг унших</t>
  </si>
  <si>
    <t>(Зурагт ном 69-р хуудас)</t>
  </si>
  <si>
    <t>1 богино өгүүлбэрийг зөв унших</t>
  </si>
  <si>
    <t>3-с дээш алдалгүй 1 бүлгийг унших</t>
  </si>
  <si>
    <t>1 бүлгийг унших, 2 асуултанд зөв хариулах</t>
  </si>
  <si>
    <t>Өгүүлбэрийг уншаад даалгаврыг биелүүлэх</t>
  </si>
  <si>
    <t>2 ба 7 блокыг тоолох</t>
  </si>
  <si>
    <t>Чанга дуугаар 1-10 хүртэл тоолох</t>
  </si>
  <si>
    <t>5 өнгийг нэрлэх</t>
  </si>
  <si>
    <t>Идэж эсвэл уухыг санал болгох</t>
  </si>
  <si>
    <t>Олон тооны 2 зүйлийг нэрлэх</t>
  </si>
  <si>
    <t>Төлөөний үгсийг ашиглах</t>
  </si>
  <si>
    <t>3 зүйлийг 2 үгээр илэрхийлэх</t>
  </si>
  <si>
    <t>Өөрийн нэрийг мэдэх</t>
  </si>
  <si>
    <t>Хүйс мэдэх</t>
  </si>
  <si>
    <t>3 үйлдэлт үйлдлийг ойлгох</t>
  </si>
  <si>
    <t>Төлөөний үгийг зөв ангилах</t>
  </si>
  <si>
    <t>Туслалцаа хүсэхдээ үгэн болон үгэн бус үйлдлээр илэрхийлэх</t>
  </si>
  <si>
    <t>Насандаа тохирсон өгүүлбэрийн бүтцээр яриа</t>
  </si>
  <si>
    <t>Хүлээн авах хэл яриа</t>
  </si>
  <si>
    <t>Хүүхэлдэйн биеийн 3 хэсгийг заах</t>
  </si>
  <si>
    <t>Биеийн 3 хэсгийг өөр дээрээ үзүүлэх</t>
  </si>
  <si>
    <t>Дугуй, дөрвөлжин, гурвалжин дүрсүүдийг заах</t>
  </si>
  <si>
    <t>Том, жижиг дүрсүүдийг заах</t>
  </si>
  <si>
    <t>Хүсэлтээр 3 эд зүйлийг өгөх</t>
  </si>
  <si>
    <t>Түгээмэл хэрэглэгддэг 3 эд зүйлийн нэрийг таних</t>
  </si>
  <si>
    <t>20 зурагнаас 14-г нэрлэх
/Зурагт ном  85a-85t/</t>
  </si>
  <si>
    <t>9 үсгийг зөв таних</t>
  </si>
  <si>
    <t>2 үйлдэлт командыг биелүүлэх</t>
  </si>
  <si>
    <t>2 ба 6 блокын ялгааг таних</t>
  </si>
  <si>
    <t>5 өнгийг заах</t>
  </si>
  <si>
    <t>Эд зүйлсийн нэршлийг мэддэг байх</t>
  </si>
  <si>
    <t>1-2 үйлдэлтэй 4 зааврыг дагах</t>
  </si>
  <si>
    <t>Үгэн бус дохионд хариу үзүүлэх</t>
  </si>
  <si>
    <t>“Үгүй”,”Болиорой” гэсэн үйлдэлд хариу үзүүлэх</t>
  </si>
  <si>
    <t>Нэрийг нь дуудахад үйлдлийг зогсоох</t>
  </si>
  <si>
    <t>“Нааш ир” гэсэн энгийн командыг ойлгох</t>
  </si>
  <si>
    <t>Асуулт илэрхийлсэн үгэнд хариу үзүүлэх</t>
  </si>
  <si>
    <t>Харилцааны чадвар</t>
  </si>
  <si>
    <t>L1</t>
  </si>
  <si>
    <t>Үе тэнгийнхэнтэйгээ нийцтэй байх</t>
  </si>
  <si>
    <t>Санал болгосон эд зүйлийг авах</t>
  </si>
  <si>
    <t>Бусад хүмүүс эерэг байдлаар биед нь хүрэхэд эерэг хариу үйлдэл үзүүлэх</t>
  </si>
  <si>
    <t>Бусад хүмүүсийн зан байдлыг сонирхох</t>
  </si>
  <si>
    <t>Бусдын нийгмийн харилцаанд орж эхлэх үеийг харах</t>
  </si>
  <si>
    <t>Биеэрээ бусадтай харилцах</t>
  </si>
  <si>
    <t>Бусдын үйл ажиллагааг дуусгах гэж байгааг харах.</t>
  </si>
  <si>
    <t>Сонсголоороо хүлээн авах</t>
  </si>
  <si>
    <t>Найз нөхдөө дуурайх</t>
  </si>
  <si>
    <t>Мэндчилгээг буцаах</t>
  </si>
  <si>
    <t>Бусдын хийж буй үйлдэлд биеэрээ оролцох</t>
  </si>
  <si>
    <t>Үе тэнгийнхэнтэйгээ холбоо тогтоохыг оролдож хандлагад нь хариу үзүүлэх</t>
  </si>
  <si>
    <t>Бусадтай эд зүйлээ хуваалцах</t>
  </si>
  <si>
    <t>Алга болсон хүнийг хайх</t>
  </si>
  <si>
    <t>Анхаарал татах</t>
  </si>
  <si>
    <t>Эд зүйлсийг бусдад хамаатуулах</t>
  </si>
  <si>
    <t>Санаачлагаараа мэндлэх</t>
  </si>
  <si>
    <t>Үйл ажиллагаанд бусадтай оролцох</t>
  </si>
  <si>
    <t>Үеийнхнийхээ үйлдэлд анхаарал хандуулан ажиглах</t>
  </si>
  <si>
    <t>Найзуудаас ирсэн хүсэлтийг хүлээн зөвшөөрөх</t>
  </si>
  <si>
    <t>Үеийнхэн нь хийж буй үйлдлээ солих үед зан үйлээ тохируулах</t>
  </si>
  <si>
    <t>Бусдад туслахад оролцох</t>
  </si>
  <si>
    <t>Бусдын юунд дуртай/дүргүйг тодорхойлох</t>
  </si>
  <si>
    <t>Бусдын сонирхож буй зүйлд шууд анхаарлаа хандуулах</t>
  </si>
  <si>
    <t>Бусдын сонирхолд шууд хариу үзүүлэх</t>
  </si>
  <si>
    <t>Харилцан яриа тасалдахад хүлээх</t>
  </si>
  <si>
    <t>Бусадтай ярилцах</t>
  </si>
  <si>
    <t>Мэдээлэл асуух</t>
  </si>
  <si>
    <t>Бусдын анхаарлыг татаж, тогтоох</t>
  </si>
  <si>
    <t>L2</t>
  </si>
  <si>
    <t>L3</t>
  </si>
  <si>
    <t>L4</t>
  </si>
  <si>
    <t>L5</t>
  </si>
  <si>
    <t>L6</t>
  </si>
  <si>
    <t>L7</t>
  </si>
  <si>
    <t>L8</t>
  </si>
  <si>
    <t>L9</t>
  </si>
  <si>
    <t>L10</t>
  </si>
  <si>
    <t>L11</t>
  </si>
  <si>
    <t>L12</t>
  </si>
  <si>
    <t>L13</t>
  </si>
  <si>
    <t>L14</t>
  </si>
  <si>
    <t>L15</t>
  </si>
  <si>
    <t>L16</t>
  </si>
  <si>
    <t>L17</t>
  </si>
  <si>
    <t>L18</t>
  </si>
  <si>
    <t>L19</t>
  </si>
  <si>
    <t>L20</t>
  </si>
  <si>
    <t>L21</t>
  </si>
  <si>
    <t>L22</t>
  </si>
  <si>
    <t>L23</t>
  </si>
  <si>
    <t>L24</t>
  </si>
  <si>
    <t>L25</t>
  </si>
  <si>
    <t>L26</t>
  </si>
  <si>
    <t>L27</t>
  </si>
  <si>
    <t>L28</t>
  </si>
  <si>
    <t>L29</t>
  </si>
  <si>
    <t>Эцэг эхийн санал : /хүсэж буй үр дүн/</t>
  </si>
  <si>
    <t xml:space="preserve"> </t>
  </si>
  <si>
    <t>Чадварын хувь оноо</t>
  </si>
  <si>
    <t>д/д</t>
  </si>
  <si>
    <t>Чадвар</t>
  </si>
  <si>
    <t>Стандарт оноо</t>
  </si>
  <si>
    <t>Хөгжлийн суурь үнэлгээний үр дүн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</si>
</sst>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sz val="11"/>
      <color theme="1"/>
      <name val="Times New Roman"/>
      <family val="1"/>
    </font>
    <font>
      <sz val="9"/>
      <color theme="1"/>
      <name val="Times New Roman"/>
      <family val="1"/>
    </font>
    <font>
      <sz val="7.5"/>
      <color theme="1"/>
      <name val="Times New Roman"/>
      <family val="1"/>
    </font>
    <font>
      <sz val="7.5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1"/>
      <color theme="1"/>
      <name val="Times New Roman"/>
      <family val="1"/>
    </font>
    <font>
      <b/>
      <sz val="12"/>
      <color theme="1"/>
      <name val="Calibri"/>
      <family val="2"/>
      <scheme val="minor"/>
    </font>
    <font>
      <b/>
      <sz val="11"/>
      <color theme="1"/>
      <name val="Times New Roman Mon"/>
      <family val="1"/>
    </font>
    <font>
      <sz val="11"/>
      <color theme="1"/>
      <name val="Calibri"/>
      <family val="2"/>
      <scheme val="minor"/>
    </font>
    <font>
      <sz val="18"/>
      <color theme="1"/>
      <name val="Times New Roman"/>
      <family val="1"/>
    </font>
    <font>
      <sz val="18"/>
      <color theme="1"/>
      <name val="Calibri"/>
      <family val="2"/>
      <scheme val="minor"/>
    </font>
    <font>
      <sz val="11"/>
      <color theme="1"/>
      <name val="Arial"/>
      <family val="2"/>
    </font>
    <font>
      <sz val="8"/>
      <color theme="1"/>
      <name val="Arial"/>
      <family val="2"/>
    </font>
    <font>
      <sz val="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1" fillId="0" borderId="0" applyFont="0" applyFill="0" applyBorder="0" applyAlignment="0" applyProtection="0"/>
  </cellStyleXfs>
  <cellXfs count="55">
    <xf numFmtId="0" fontId="0" fillId="0" borderId="0" xfId="0"/>
    <xf numFmtId="0" fontId="0" fillId="0" borderId="0" xfId="0" applyAlignment="1"/>
    <xf numFmtId="0" fontId="0" fillId="0" borderId="0" xfId="0" applyAlignment="1">
      <alignment vertical="center"/>
    </xf>
    <xf numFmtId="0" fontId="2" fillId="0" borderId="0" xfId="0" applyFont="1"/>
    <xf numFmtId="0" fontId="2" fillId="0" borderId="1" xfId="0" applyFont="1" applyBorder="1"/>
    <xf numFmtId="0" fontId="1" fillId="0" borderId="1" xfId="0" applyFont="1" applyBorder="1" applyAlignment="1">
      <alignment vertical="center" wrapText="1"/>
    </xf>
    <xf numFmtId="0" fontId="0" fillId="0" borderId="1" xfId="0" applyBorder="1"/>
    <xf numFmtId="0" fontId="2" fillId="0" borderId="1" xfId="0" applyFont="1" applyBorder="1" applyAlignment="1">
      <alignment vertical="center" wrapText="1"/>
    </xf>
    <xf numFmtId="0" fontId="1" fillId="0" borderId="1" xfId="0" applyFont="1" applyBorder="1"/>
    <xf numFmtId="0" fontId="7" fillId="0" borderId="1" xfId="0" applyFont="1" applyBorder="1"/>
    <xf numFmtId="0" fontId="9" fillId="0" borderId="0" xfId="0" applyFont="1"/>
    <xf numFmtId="0" fontId="0" fillId="0" borderId="0" xfId="0" applyAlignment="1">
      <alignment horizontal="left"/>
    </xf>
    <xf numFmtId="0" fontId="2" fillId="0" borderId="6" xfId="0" applyFont="1" applyBorder="1" applyAlignment="1">
      <alignment vertical="center" wrapText="1"/>
    </xf>
    <xf numFmtId="0" fontId="2" fillId="0" borderId="1" xfId="0" applyFont="1" applyBorder="1" applyAlignment="1">
      <alignment wrapText="1"/>
    </xf>
    <xf numFmtId="0" fontId="7" fillId="0" borderId="3" xfId="0" applyFont="1" applyBorder="1"/>
    <xf numFmtId="0" fontId="1" fillId="0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6" fillId="0" borderId="1" xfId="0" applyFont="1" applyBorder="1" applyAlignment="1">
      <alignment wrapText="1"/>
    </xf>
    <xf numFmtId="0" fontId="3" fillId="0" borderId="1" xfId="0" applyFont="1" applyBorder="1" applyAlignment="1">
      <alignment vertical="center" wrapText="1"/>
    </xf>
    <xf numFmtId="0" fontId="0" fillId="0" borderId="1" xfId="0" applyBorder="1" applyAlignment="1">
      <alignment wrapText="1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5" fillId="0" borderId="1" xfId="0" applyFont="1" applyBorder="1" applyAlignment="1">
      <alignment horizontal="center" vertical="center" wrapText="1"/>
    </xf>
    <xf numFmtId="0" fontId="8" fillId="0" borderId="0" xfId="0" applyFont="1" applyAlignment="1">
      <alignment horizontal="center"/>
    </xf>
    <xf numFmtId="0" fontId="8" fillId="0" borderId="7" xfId="0" applyFont="1" applyBorder="1" applyAlignment="1">
      <alignment horizontal="left"/>
    </xf>
    <xf numFmtId="0" fontId="10" fillId="0" borderId="2" xfId="0" applyFont="1" applyBorder="1" applyAlignment="1">
      <alignment horizontal="left"/>
    </xf>
    <xf numFmtId="0" fontId="8" fillId="0" borderId="2" xfId="0" applyFont="1" applyBorder="1" applyAlignment="1">
      <alignment horizontal="left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/>
    </xf>
    <xf numFmtId="0" fontId="8" fillId="0" borderId="0" xfId="0" applyFont="1" applyAlignment="1">
      <alignment horizontal="left"/>
    </xf>
    <xf numFmtId="0" fontId="0" fillId="0" borderId="1" xfId="0" applyBorder="1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12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2" fillId="0" borderId="0" xfId="0" applyFont="1" applyAlignment="1">
      <alignment horizontal="center" textRotation="90" wrapText="1"/>
    </xf>
    <xf numFmtId="9" fontId="2" fillId="0" borderId="0" xfId="1" applyFont="1"/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wrapText="1"/>
    </xf>
    <xf numFmtId="0" fontId="0" fillId="0" borderId="8" xfId="0" applyBorder="1"/>
    <xf numFmtId="0" fontId="14" fillId="0" borderId="0" xfId="0" applyFont="1" applyBorder="1" applyAlignment="1">
      <alignment horizontal="center" vertical="center" wrapText="1"/>
    </xf>
    <xf numFmtId="9" fontId="14" fillId="0" borderId="0" xfId="0" applyNumberFormat="1" applyFont="1" applyBorder="1" applyAlignment="1">
      <alignment horizontal="center" vertical="center" wrapText="1"/>
    </xf>
    <xf numFmtId="0" fontId="15" fillId="0" borderId="0" xfId="0" applyFont="1" applyBorder="1" applyAlignment="1">
      <alignment horizontal="center" vertical="center" wrapText="1"/>
    </xf>
    <xf numFmtId="0" fontId="15" fillId="0" borderId="0" xfId="0" applyFont="1" applyBorder="1" applyAlignment="1">
      <alignment vertical="center" wrapText="1"/>
    </xf>
    <xf numFmtId="0" fontId="15" fillId="0" borderId="0" xfId="0" applyFont="1" applyFill="1" applyBorder="1" applyAlignment="1">
      <alignment vertical="center" wrapText="1"/>
    </xf>
    <xf numFmtId="0" fontId="15" fillId="0" borderId="0" xfId="0" applyFont="1" applyBorder="1" applyAlignment="1">
      <alignment horizontal="center" vertical="center" wrapText="1"/>
    </xf>
    <xf numFmtId="0" fontId="16" fillId="0" borderId="0" xfId="0" applyFont="1" applyAlignment="1">
      <alignment wrapText="1"/>
    </xf>
    <xf numFmtId="0" fontId="14" fillId="0" borderId="0" xfId="0" applyFont="1" applyFill="1" applyBorder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Амартайван!$I$9</c:f>
              <c:strCache>
                <c:ptCount val="1"/>
                <c:pt idx="0">
                  <c:v>Стандарт оноо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Амартайван!$G$10:$H$19</c:f>
              <c:multiLvlStrCache>
                <c:ptCount val="10"/>
                <c:lvl>
                  <c:pt idx="0">
                    <c:v>Булчингийн даган дууралт</c:v>
                  </c:pt>
                  <c:pt idx="1">
                    <c:v>Том булчин</c:v>
                  </c:pt>
                  <c:pt idx="2">
                    <c:v>Нийгэмшхүй зан үйл</c:v>
                  </c:pt>
                  <c:pt idx="3">
                    <c:v>Ариун цэвэр сахих</c:v>
                  </c:pt>
                  <c:pt idx="4">
                    <c:v>Хувцаслах чадвар</c:v>
                  </c:pt>
                  <c:pt idx="5">
                    <c:v>Хооллох чадвар</c:v>
                  </c:pt>
                  <c:pt idx="6">
                    <c:v>Нарийн булчингийн чадвар</c:v>
                  </c:pt>
                  <c:pt idx="7">
                    <c:v>Илэрхийлэх хэл яриа</c:v>
                  </c:pt>
                  <c:pt idx="8">
                    <c:v>Хүлээн авах хэл яриа</c:v>
                  </c:pt>
                  <c:pt idx="9">
                    <c:v>Харилцааны чадвар</c:v>
                  </c:pt>
                </c:lvl>
                <c:lvl>
                  <c:pt idx="0">
                    <c:v>Хөдөлгөөн булчингийн чадвар</c:v>
                  </c:pt>
                  <c:pt idx="2">
                    <c:v>Нийгэмшхүй зан үйл /Өөртөө үйлчлэх чадвар/</c:v>
                  </c:pt>
                  <c:pt idx="7">
                    <c:v>Хэл яриа- Харилцааны чадвар</c:v>
                  </c:pt>
                </c:lvl>
              </c:multiLvlStrCache>
            </c:multiLvlStrRef>
          </c:cat>
          <c:val>
            <c:numRef>
              <c:f>Амартайван!$I$10:$I$19</c:f>
              <c:numCache>
                <c:formatCode>0%</c:formatCode>
                <c:ptCount val="1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4A2-4624-8985-3855490E05A1}"/>
            </c:ext>
          </c:extLst>
        </c:ser>
        <c:ser>
          <c:idx val="1"/>
          <c:order val="1"/>
          <c:tx>
            <c:strRef>
              <c:f>Амартайван!$J$9</c:f>
              <c:strCache>
                <c:ptCount val="1"/>
                <c:pt idx="0">
                  <c:v>Чадварын хувь оноо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Амартайван!$G$10:$H$19</c:f>
              <c:multiLvlStrCache>
                <c:ptCount val="10"/>
                <c:lvl>
                  <c:pt idx="0">
                    <c:v>Булчингийн даган дууралт</c:v>
                  </c:pt>
                  <c:pt idx="1">
                    <c:v>Том булчин</c:v>
                  </c:pt>
                  <c:pt idx="2">
                    <c:v>Нийгэмшхүй зан үйл</c:v>
                  </c:pt>
                  <c:pt idx="3">
                    <c:v>Ариун цэвэр сахих</c:v>
                  </c:pt>
                  <c:pt idx="4">
                    <c:v>Хувцаслах чадвар</c:v>
                  </c:pt>
                  <c:pt idx="5">
                    <c:v>Хооллох чадвар</c:v>
                  </c:pt>
                  <c:pt idx="6">
                    <c:v>Нарийн булчингийн чадвар</c:v>
                  </c:pt>
                  <c:pt idx="7">
                    <c:v>Илэрхийлэх хэл яриа</c:v>
                  </c:pt>
                  <c:pt idx="8">
                    <c:v>Хүлээн авах хэл яриа</c:v>
                  </c:pt>
                  <c:pt idx="9">
                    <c:v>Харилцааны чадвар</c:v>
                  </c:pt>
                </c:lvl>
                <c:lvl>
                  <c:pt idx="0">
                    <c:v>Хөдөлгөөн булчингийн чадвар</c:v>
                  </c:pt>
                  <c:pt idx="2">
                    <c:v>Нийгэмшхүй зан үйл /Өөртөө үйлчлэх чадвар/</c:v>
                  </c:pt>
                  <c:pt idx="7">
                    <c:v>Хэл яриа- Харилцааны чадвар</c:v>
                  </c:pt>
                </c:lvl>
              </c:multiLvlStrCache>
            </c:multiLvlStrRef>
          </c:cat>
          <c:val>
            <c:numRef>
              <c:f>Амартайван!$J$10:$J$19</c:f>
              <c:numCache>
                <c:formatCode>0%</c:formatCode>
                <c:ptCount val="10"/>
                <c:pt idx="0">
                  <c:v>0.4</c:v>
                </c:pt>
                <c:pt idx="1">
                  <c:v>0.37272727272727274</c:v>
                </c:pt>
                <c:pt idx="2">
                  <c:v>0.38947368421052631</c:v>
                </c:pt>
                <c:pt idx="3">
                  <c:v>0.2</c:v>
                </c:pt>
                <c:pt idx="4">
                  <c:v>0.33333333333333331</c:v>
                </c:pt>
                <c:pt idx="5">
                  <c:v>0.37142857142857144</c:v>
                </c:pt>
                <c:pt idx="6">
                  <c:v>0.39166666666666666</c:v>
                </c:pt>
                <c:pt idx="7">
                  <c:v>0.44666666666666666</c:v>
                </c:pt>
                <c:pt idx="8">
                  <c:v>0.3473684210526316</c:v>
                </c:pt>
                <c:pt idx="9">
                  <c:v>0.37931034482758619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4A2-4624-8985-3855490E05A1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706196800"/>
        <c:axId val="1706206368"/>
      </c:lineChart>
      <c:catAx>
        <c:axId val="17061968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6206368"/>
        <c:crosses val="autoZero"/>
        <c:auto val="1"/>
        <c:lblAlgn val="ctr"/>
        <c:lblOffset val="100"/>
        <c:noMultiLvlLbl val="0"/>
      </c:catAx>
      <c:valAx>
        <c:axId val="1706206368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6196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landscape" horizontalDpi="0" verticalDpi="0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mn-MN"/>
              <a:t>Хөгжлийн суурь үнэлгээний үр дүн : О.Бөртэ-Үжин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Жишээ!$I$9</c:f>
              <c:strCache>
                <c:ptCount val="1"/>
                <c:pt idx="0">
                  <c:v>Стандарт оноо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Жишээ!$G$10:$H$19</c15:sqref>
                  </c15:fullRef>
                  <c15:levelRef>
                    <c15:sqref>Жишээ!$H$10:$H$19</c15:sqref>
                  </c15:levelRef>
                </c:ext>
              </c:extLst>
              <c:f>Жишээ!$H$10:$H$19</c:f>
              <c:strCache>
                <c:ptCount val="10"/>
                <c:pt idx="0">
                  <c:v>Булчингийн даган дууралт</c:v>
                </c:pt>
                <c:pt idx="1">
                  <c:v>Том булчин</c:v>
                </c:pt>
                <c:pt idx="2">
                  <c:v>Нийгэмшхүй зан үйл</c:v>
                </c:pt>
                <c:pt idx="3">
                  <c:v>Ариун цэвэр сахих</c:v>
                </c:pt>
                <c:pt idx="4">
                  <c:v>Хувцаслах чадвар</c:v>
                </c:pt>
                <c:pt idx="5">
                  <c:v>Хооллох чадвар</c:v>
                </c:pt>
                <c:pt idx="6">
                  <c:v>Нарийн булчингийн чадвар</c:v>
                </c:pt>
                <c:pt idx="7">
                  <c:v>Илэрхийлэх хэл яриа</c:v>
                </c:pt>
                <c:pt idx="8">
                  <c:v>Хүлээн авах хэл яриа</c:v>
                </c:pt>
                <c:pt idx="9">
                  <c:v>Харилцааны чадвар</c:v>
                </c:pt>
              </c:strCache>
            </c:strRef>
          </c:cat>
          <c:val>
            <c:numRef>
              <c:f>Жишээ!$I$10:$I$19</c:f>
              <c:numCache>
                <c:formatCode>0%</c:formatCode>
                <c:ptCount val="1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F1B-4FB0-A90B-C80A3036DD60}"/>
            </c:ext>
          </c:extLst>
        </c:ser>
        <c:ser>
          <c:idx val="1"/>
          <c:order val="1"/>
          <c:tx>
            <c:strRef>
              <c:f>Жишээ!$J$9</c:f>
              <c:strCache>
                <c:ptCount val="1"/>
                <c:pt idx="0">
                  <c:v>Чадварын хувь оноо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Жишээ!$G$10:$H$19</c15:sqref>
                  </c15:fullRef>
                  <c15:levelRef>
                    <c15:sqref>Жишээ!$H$10:$H$19</c15:sqref>
                  </c15:levelRef>
                </c:ext>
              </c:extLst>
              <c:f>Жишээ!$H$10:$H$19</c:f>
              <c:strCache>
                <c:ptCount val="10"/>
                <c:pt idx="0">
                  <c:v>Булчингийн даган дууралт</c:v>
                </c:pt>
                <c:pt idx="1">
                  <c:v>Том булчин</c:v>
                </c:pt>
                <c:pt idx="2">
                  <c:v>Нийгэмшхүй зан үйл</c:v>
                </c:pt>
                <c:pt idx="3">
                  <c:v>Ариун цэвэр сахих</c:v>
                </c:pt>
                <c:pt idx="4">
                  <c:v>Хувцаслах чадвар</c:v>
                </c:pt>
                <c:pt idx="5">
                  <c:v>Хооллох чадвар</c:v>
                </c:pt>
                <c:pt idx="6">
                  <c:v>Нарийн булчингийн чадвар</c:v>
                </c:pt>
                <c:pt idx="7">
                  <c:v>Илэрхийлэх хэл яриа</c:v>
                </c:pt>
                <c:pt idx="8">
                  <c:v>Хүлээн авах хэл яриа</c:v>
                </c:pt>
                <c:pt idx="9">
                  <c:v>Харилцааны чадвар</c:v>
                </c:pt>
              </c:strCache>
            </c:strRef>
          </c:cat>
          <c:val>
            <c:numRef>
              <c:f>Жишээ!$J$10:$J$19</c:f>
              <c:numCache>
                <c:formatCode>0%</c:formatCode>
                <c:ptCount val="10"/>
                <c:pt idx="0">
                  <c:v>0.37</c:v>
                </c:pt>
                <c:pt idx="1">
                  <c:v>0.37272727272727274</c:v>
                </c:pt>
                <c:pt idx="2">
                  <c:v>0.38947368421052631</c:v>
                </c:pt>
                <c:pt idx="3">
                  <c:v>0.2</c:v>
                </c:pt>
                <c:pt idx="4">
                  <c:v>0.33333333333333331</c:v>
                </c:pt>
                <c:pt idx="5">
                  <c:v>0.37142857142857144</c:v>
                </c:pt>
                <c:pt idx="6">
                  <c:v>0.39166666666666666</c:v>
                </c:pt>
                <c:pt idx="7">
                  <c:v>0.44666666666666666</c:v>
                </c:pt>
                <c:pt idx="8">
                  <c:v>0.3473684210526316</c:v>
                </c:pt>
                <c:pt idx="9">
                  <c:v>0.37931034482758619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F1B-4FB0-A90B-C80A3036DD60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561046144"/>
        <c:axId val="1561043648"/>
      </c:lineChart>
      <c:catAx>
        <c:axId val="15610461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1043648"/>
        <c:crosses val="autoZero"/>
        <c:auto val="1"/>
        <c:lblAlgn val="ctr"/>
        <c:lblOffset val="100"/>
        <c:noMultiLvlLbl val="0"/>
      </c:catAx>
      <c:valAx>
        <c:axId val="1561043648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10461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landscape" horizontalDpi="0" verticalDpi="0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133350</xdr:colOff>
      <xdr:row>24</xdr:row>
      <xdr:rowOff>133350</xdr:rowOff>
    </xdr:from>
    <xdr:to>
      <xdr:col>15</xdr:col>
      <xdr:colOff>514350</xdr:colOff>
      <xdr:row>35</xdr:row>
      <xdr:rowOff>209550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114299</xdr:colOff>
      <xdr:row>24</xdr:row>
      <xdr:rowOff>95250</xdr:rowOff>
    </xdr:from>
    <xdr:to>
      <xdr:col>15</xdr:col>
      <xdr:colOff>466724</xdr:colOff>
      <xdr:row>34</xdr:row>
      <xdr:rowOff>85725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3"/>
  <sheetViews>
    <sheetView workbookViewId="0">
      <selection activeCell="I14" sqref="I14"/>
    </sheetView>
  </sheetViews>
  <sheetFormatPr defaultRowHeight="15" x14ac:dyDescent="0.25"/>
  <cols>
    <col min="1" max="1" width="5.42578125" customWidth="1"/>
    <col min="2" max="2" width="29.7109375" style="3" customWidth="1"/>
    <col min="3" max="3" width="11.5703125" customWidth="1"/>
    <col min="5" max="5" width="28.28515625" customWidth="1"/>
  </cols>
  <sheetData>
    <row r="1" spans="1:9" ht="25.5" customHeight="1" x14ac:dyDescent="0.25">
      <c r="A1" s="37" t="s">
        <v>0</v>
      </c>
      <c r="B1" s="37"/>
      <c r="C1" s="37"/>
      <c r="D1" s="37"/>
      <c r="E1" s="37"/>
      <c r="F1" s="2"/>
      <c r="G1" s="2"/>
      <c r="H1" s="2"/>
      <c r="I1" s="2"/>
    </row>
    <row r="2" spans="1:9" x14ac:dyDescent="0.25">
      <c r="A2" s="35" t="s">
        <v>1</v>
      </c>
      <c r="B2" s="35"/>
      <c r="C2" s="3"/>
      <c r="D2" s="3"/>
      <c r="E2" s="3"/>
    </row>
    <row r="3" spans="1:9" x14ac:dyDescent="0.25">
      <c r="A3" s="36" t="s">
        <v>2</v>
      </c>
      <c r="B3" s="36"/>
      <c r="C3" s="36"/>
      <c r="D3" s="36"/>
      <c r="E3" s="36"/>
      <c r="F3" s="1"/>
      <c r="G3" s="1"/>
      <c r="H3" s="1"/>
      <c r="I3" s="1"/>
    </row>
    <row r="4" spans="1:9" x14ac:dyDescent="0.25">
      <c r="A4" s="32" t="s">
        <v>3</v>
      </c>
      <c r="B4" s="32"/>
      <c r="C4" s="32"/>
      <c r="D4" s="32"/>
      <c r="E4" s="32"/>
      <c r="F4" s="1"/>
      <c r="G4" s="1"/>
      <c r="H4" s="1"/>
      <c r="I4" s="1"/>
    </row>
    <row r="5" spans="1:9" ht="15.75" x14ac:dyDescent="0.25">
      <c r="A5" s="9" t="s">
        <v>4</v>
      </c>
      <c r="B5" s="9" t="s">
        <v>5</v>
      </c>
      <c r="C5" s="9" t="s">
        <v>6</v>
      </c>
      <c r="D5" s="9" t="s">
        <v>7</v>
      </c>
      <c r="E5" s="9" t="s">
        <v>8</v>
      </c>
    </row>
    <row r="6" spans="1:9" ht="30" x14ac:dyDescent="0.25">
      <c r="A6" s="5" t="s">
        <v>9</v>
      </c>
      <c r="B6" s="7" t="s">
        <v>29</v>
      </c>
      <c r="C6" s="28" t="s">
        <v>94</v>
      </c>
      <c r="D6" s="6"/>
      <c r="E6" s="6"/>
    </row>
    <row r="7" spans="1:9" ht="30" x14ac:dyDescent="0.25">
      <c r="A7" s="5" t="s">
        <v>10</v>
      </c>
      <c r="B7" s="7" t="s">
        <v>30</v>
      </c>
      <c r="C7" s="29"/>
      <c r="D7" s="6"/>
      <c r="E7" s="6"/>
    </row>
    <row r="8" spans="1:9" ht="45" x14ac:dyDescent="0.25">
      <c r="A8" s="5" t="s">
        <v>11</v>
      </c>
      <c r="B8" s="7" t="s">
        <v>31</v>
      </c>
      <c r="C8" s="29"/>
      <c r="D8" s="6"/>
      <c r="E8" s="6"/>
    </row>
    <row r="9" spans="1:9" ht="22.5" customHeight="1" x14ac:dyDescent="0.25">
      <c r="A9" s="5" t="s">
        <v>12</v>
      </c>
      <c r="B9" s="7" t="s">
        <v>32</v>
      </c>
      <c r="C9" s="29"/>
      <c r="D9" s="6"/>
      <c r="E9" s="6"/>
    </row>
    <row r="10" spans="1:9" ht="22.5" customHeight="1" x14ac:dyDescent="0.25">
      <c r="A10" s="5" t="s">
        <v>13</v>
      </c>
      <c r="B10" s="7" t="s">
        <v>33</v>
      </c>
      <c r="C10" s="29"/>
      <c r="D10" s="6"/>
      <c r="E10" s="6"/>
    </row>
    <row r="11" spans="1:9" ht="22.5" customHeight="1" x14ac:dyDescent="0.25">
      <c r="A11" s="5" t="s">
        <v>14</v>
      </c>
      <c r="B11" s="7" t="s">
        <v>34</v>
      </c>
      <c r="C11" s="29"/>
      <c r="D11" s="6"/>
      <c r="E11" s="6"/>
    </row>
    <row r="12" spans="1:9" ht="45" x14ac:dyDescent="0.25">
      <c r="A12" s="5" t="s">
        <v>15</v>
      </c>
      <c r="B12" s="7" t="s">
        <v>35</v>
      </c>
      <c r="C12" s="29"/>
      <c r="D12" s="6"/>
      <c r="E12" s="6"/>
    </row>
    <row r="13" spans="1:9" ht="30" x14ac:dyDescent="0.25">
      <c r="A13" s="5" t="s">
        <v>16</v>
      </c>
      <c r="B13" s="7" t="s">
        <v>36</v>
      </c>
      <c r="C13" s="29"/>
      <c r="D13" s="6"/>
      <c r="E13" s="6"/>
    </row>
    <row r="14" spans="1:9" ht="23.25" customHeight="1" x14ac:dyDescent="0.25">
      <c r="A14" s="5" t="s">
        <v>17</v>
      </c>
      <c r="B14" s="7" t="s">
        <v>37</v>
      </c>
      <c r="C14" s="29"/>
      <c r="D14" s="6"/>
      <c r="E14" s="6"/>
    </row>
    <row r="15" spans="1:9" ht="30" x14ac:dyDescent="0.25">
      <c r="A15" s="5" t="s">
        <v>18</v>
      </c>
      <c r="B15" s="7" t="s">
        <v>38</v>
      </c>
      <c r="C15" s="29"/>
      <c r="D15" s="6"/>
      <c r="E15" s="6"/>
    </row>
    <row r="16" spans="1:9" ht="26.25" customHeight="1" x14ac:dyDescent="0.25">
      <c r="A16" s="5" t="s">
        <v>19</v>
      </c>
      <c r="B16" s="7" t="s">
        <v>39</v>
      </c>
      <c r="C16" s="29"/>
      <c r="D16" s="6"/>
      <c r="E16" s="6"/>
    </row>
    <row r="17" spans="1:5" ht="30" x14ac:dyDescent="0.25">
      <c r="A17" s="5" t="s">
        <v>20</v>
      </c>
      <c r="B17" s="7" t="s">
        <v>40</v>
      </c>
      <c r="C17" s="29"/>
      <c r="D17" s="6"/>
      <c r="E17" s="6"/>
    </row>
    <row r="18" spans="1:5" ht="30" x14ac:dyDescent="0.25">
      <c r="A18" s="5" t="s">
        <v>21</v>
      </c>
      <c r="B18" s="7" t="s">
        <v>41</v>
      </c>
      <c r="C18" s="29"/>
      <c r="D18" s="6"/>
      <c r="E18" s="6"/>
    </row>
    <row r="19" spans="1:5" ht="30" x14ac:dyDescent="0.25">
      <c r="A19" s="5" t="s">
        <v>22</v>
      </c>
      <c r="B19" s="7" t="s">
        <v>42</v>
      </c>
      <c r="C19" s="29"/>
      <c r="D19" s="6"/>
      <c r="E19" s="6"/>
    </row>
    <row r="20" spans="1:5" ht="45" x14ac:dyDescent="0.25">
      <c r="A20" s="5" t="s">
        <v>23</v>
      </c>
      <c r="B20" s="7" t="s">
        <v>43</v>
      </c>
      <c r="C20" s="29"/>
      <c r="D20" s="6"/>
      <c r="E20" s="6"/>
    </row>
    <row r="21" spans="1:5" ht="27.75" customHeight="1" x14ac:dyDescent="0.25">
      <c r="A21" s="5" t="s">
        <v>24</v>
      </c>
      <c r="B21" s="7" t="s">
        <v>44</v>
      </c>
      <c r="C21" s="29"/>
      <c r="D21" s="6"/>
      <c r="E21" s="6"/>
    </row>
    <row r="22" spans="1:5" ht="30" x14ac:dyDescent="0.25">
      <c r="A22" s="5" t="s">
        <v>25</v>
      </c>
      <c r="B22" s="7" t="s">
        <v>45</v>
      </c>
      <c r="C22" s="29"/>
      <c r="D22" s="6"/>
      <c r="E22" s="6"/>
    </row>
    <row r="23" spans="1:5" ht="36" customHeight="1" x14ac:dyDescent="0.25">
      <c r="A23" s="5" t="s">
        <v>26</v>
      </c>
      <c r="B23" s="7" t="s">
        <v>46</v>
      </c>
      <c r="C23" s="29"/>
      <c r="D23" s="6"/>
      <c r="E23" s="6"/>
    </row>
    <row r="24" spans="1:5" ht="30" x14ac:dyDescent="0.25">
      <c r="A24" s="5" t="s">
        <v>27</v>
      </c>
      <c r="B24" s="7" t="s">
        <v>47</v>
      </c>
      <c r="C24" s="29"/>
      <c r="D24" s="6"/>
      <c r="E24" s="6"/>
    </row>
    <row r="25" spans="1:5" ht="26.25" customHeight="1" x14ac:dyDescent="0.25">
      <c r="A25" s="5" t="s">
        <v>28</v>
      </c>
      <c r="B25" s="7" t="s">
        <v>48</v>
      </c>
      <c r="C25" s="30"/>
      <c r="D25" s="6"/>
      <c r="E25" s="6"/>
    </row>
    <row r="26" spans="1:5" x14ac:dyDescent="0.25">
      <c r="A26" s="27" t="s">
        <v>49</v>
      </c>
      <c r="B26" s="27"/>
      <c r="C26" s="27"/>
      <c r="D26" s="27"/>
      <c r="E26" s="27"/>
    </row>
    <row r="27" spans="1:5" s="10" customFormat="1" ht="15.75" x14ac:dyDescent="0.25">
      <c r="A27" s="9" t="s">
        <v>4</v>
      </c>
      <c r="B27" s="9" t="s">
        <v>5</v>
      </c>
      <c r="C27" s="9" t="s">
        <v>6</v>
      </c>
      <c r="D27" s="9" t="s">
        <v>7</v>
      </c>
      <c r="E27" s="9" t="s">
        <v>8</v>
      </c>
    </row>
    <row r="28" spans="1:5" ht="35.25" customHeight="1" x14ac:dyDescent="0.25">
      <c r="A28" s="5" t="s">
        <v>50</v>
      </c>
      <c r="B28" s="7" t="s">
        <v>72</v>
      </c>
      <c r="C28" s="23" t="s">
        <v>94</v>
      </c>
      <c r="D28" s="6"/>
      <c r="E28" s="6"/>
    </row>
    <row r="29" spans="1:5" ht="30.75" customHeight="1" x14ac:dyDescent="0.25">
      <c r="A29" s="5" t="s">
        <v>51</v>
      </c>
      <c r="B29" s="7" t="s">
        <v>73</v>
      </c>
      <c r="C29" s="23"/>
      <c r="D29" s="6"/>
      <c r="E29" s="6"/>
    </row>
    <row r="30" spans="1:5" ht="30.75" customHeight="1" x14ac:dyDescent="0.25">
      <c r="A30" s="5" t="s">
        <v>52</v>
      </c>
      <c r="B30" s="7" t="s">
        <v>74</v>
      </c>
      <c r="C30" s="23"/>
      <c r="D30" s="6"/>
      <c r="E30" s="6"/>
    </row>
    <row r="31" spans="1:5" ht="30.75" customHeight="1" x14ac:dyDescent="0.25">
      <c r="A31" s="5" t="s">
        <v>53</v>
      </c>
      <c r="B31" s="7" t="s">
        <v>75</v>
      </c>
      <c r="C31" s="23"/>
      <c r="D31" s="6"/>
      <c r="E31" s="6"/>
    </row>
    <row r="32" spans="1:5" ht="30.75" customHeight="1" x14ac:dyDescent="0.25">
      <c r="A32" s="5" t="s">
        <v>54</v>
      </c>
      <c r="B32" s="7" t="s">
        <v>76</v>
      </c>
      <c r="C32" s="23"/>
      <c r="D32" s="6"/>
      <c r="E32" s="6"/>
    </row>
    <row r="33" spans="1:6" ht="30.75" customHeight="1" x14ac:dyDescent="0.25">
      <c r="A33" s="5" t="s">
        <v>55</v>
      </c>
      <c r="B33" s="7" t="s">
        <v>77</v>
      </c>
      <c r="C33" s="23"/>
      <c r="D33" s="6"/>
      <c r="E33" s="6"/>
    </row>
    <row r="34" spans="1:6" ht="30.75" customHeight="1" x14ac:dyDescent="0.25">
      <c r="A34" s="5" t="s">
        <v>56</v>
      </c>
      <c r="B34" s="7" t="s">
        <v>78</v>
      </c>
      <c r="C34" s="23"/>
      <c r="D34" s="6"/>
      <c r="E34" s="6"/>
    </row>
    <row r="35" spans="1:6" ht="30.75" customHeight="1" x14ac:dyDescent="0.25">
      <c r="A35" s="5" t="s">
        <v>57</v>
      </c>
      <c r="B35" s="7" t="s">
        <v>79</v>
      </c>
      <c r="C35" s="23"/>
      <c r="D35" s="6"/>
      <c r="E35" s="6"/>
    </row>
    <row r="36" spans="1:6" ht="30.75" customHeight="1" x14ac:dyDescent="0.25">
      <c r="A36" s="5" t="s">
        <v>58</v>
      </c>
      <c r="B36" s="7" t="s">
        <v>80</v>
      </c>
      <c r="C36" s="23"/>
      <c r="D36" s="6"/>
      <c r="E36" s="6"/>
    </row>
    <row r="37" spans="1:6" ht="30.75" customHeight="1" x14ac:dyDescent="0.25">
      <c r="A37" s="5" t="s">
        <v>59</v>
      </c>
      <c r="B37" s="7" t="s">
        <v>81</v>
      </c>
      <c r="C37" s="23"/>
      <c r="D37" s="6"/>
      <c r="E37" s="6"/>
    </row>
    <row r="38" spans="1:6" ht="30.75" customHeight="1" x14ac:dyDescent="0.25">
      <c r="A38" s="5" t="s">
        <v>60</v>
      </c>
      <c r="B38" s="7" t="s">
        <v>82</v>
      </c>
      <c r="C38" s="23"/>
      <c r="D38" s="6"/>
      <c r="E38" s="6"/>
    </row>
    <row r="39" spans="1:6" ht="30.75" customHeight="1" x14ac:dyDescent="0.25">
      <c r="A39" s="5" t="s">
        <v>61</v>
      </c>
      <c r="B39" s="7" t="s">
        <v>83</v>
      </c>
      <c r="C39" s="23"/>
      <c r="D39" s="6"/>
      <c r="E39" s="6"/>
    </row>
    <row r="40" spans="1:6" ht="30.75" customHeight="1" x14ac:dyDescent="0.25">
      <c r="A40" s="5" t="s">
        <v>62</v>
      </c>
      <c r="B40" s="7" t="s">
        <v>84</v>
      </c>
      <c r="C40" s="23"/>
      <c r="D40" s="6"/>
      <c r="E40" s="6"/>
    </row>
    <row r="41" spans="1:6" ht="30.75" customHeight="1" x14ac:dyDescent="0.25">
      <c r="A41" s="5" t="s">
        <v>63</v>
      </c>
      <c r="B41" s="7" t="s">
        <v>85</v>
      </c>
      <c r="C41" s="23"/>
      <c r="D41" s="6"/>
      <c r="E41" s="6"/>
    </row>
    <row r="42" spans="1:6" ht="30.75" customHeight="1" x14ac:dyDescent="0.25">
      <c r="A42" s="5" t="s">
        <v>64</v>
      </c>
      <c r="B42" s="7" t="s">
        <v>86</v>
      </c>
      <c r="C42" s="23"/>
      <c r="D42" s="6"/>
      <c r="E42" s="6"/>
    </row>
    <row r="43" spans="1:6" ht="30.75" customHeight="1" x14ac:dyDescent="0.25">
      <c r="A43" s="5" t="s">
        <v>65</v>
      </c>
      <c r="B43" s="7" t="s">
        <v>87</v>
      </c>
      <c r="C43" s="23"/>
      <c r="D43" s="6"/>
      <c r="E43" s="6"/>
    </row>
    <row r="44" spans="1:6" ht="30.75" customHeight="1" x14ac:dyDescent="0.25">
      <c r="A44" s="5" t="s">
        <v>66</v>
      </c>
      <c r="B44" s="7" t="s">
        <v>88</v>
      </c>
      <c r="C44" s="23"/>
      <c r="D44" s="6"/>
      <c r="E44" s="6"/>
    </row>
    <row r="45" spans="1:6" ht="30.75" customHeight="1" x14ac:dyDescent="0.25">
      <c r="A45" s="5" t="s">
        <v>67</v>
      </c>
      <c r="B45" s="7" t="s">
        <v>89</v>
      </c>
      <c r="C45" s="23"/>
      <c r="D45" s="6"/>
      <c r="E45" s="6"/>
      <c r="F45" s="11"/>
    </row>
    <row r="46" spans="1:6" ht="30.75" customHeight="1" x14ac:dyDescent="0.25">
      <c r="A46" s="5" t="s">
        <v>68</v>
      </c>
      <c r="B46" s="7" t="s">
        <v>90</v>
      </c>
      <c r="C46" s="23"/>
      <c r="D46" s="6"/>
      <c r="E46" s="6"/>
    </row>
    <row r="47" spans="1:6" ht="30.75" customHeight="1" x14ac:dyDescent="0.25">
      <c r="A47" s="5" t="s">
        <v>69</v>
      </c>
      <c r="B47" s="7" t="s">
        <v>91</v>
      </c>
      <c r="C47" s="23"/>
      <c r="D47" s="6"/>
      <c r="E47" s="6"/>
    </row>
    <row r="48" spans="1:6" ht="30.75" customHeight="1" x14ac:dyDescent="0.25">
      <c r="A48" s="5" t="s">
        <v>70</v>
      </c>
      <c r="B48" s="7" t="s">
        <v>92</v>
      </c>
      <c r="C48" s="23"/>
      <c r="D48" s="6"/>
      <c r="E48" s="6"/>
    </row>
    <row r="49" spans="1:5" ht="30.75" customHeight="1" x14ac:dyDescent="0.25">
      <c r="A49" s="5" t="s">
        <v>71</v>
      </c>
      <c r="B49" s="7" t="s">
        <v>93</v>
      </c>
      <c r="C49" s="23"/>
      <c r="D49" s="6"/>
      <c r="E49" s="6"/>
    </row>
    <row r="50" spans="1:5" x14ac:dyDescent="0.25">
      <c r="A50" s="27" t="s">
        <v>95</v>
      </c>
      <c r="B50" s="27"/>
      <c r="C50" s="27"/>
      <c r="D50" s="27"/>
      <c r="E50" s="27"/>
    </row>
    <row r="51" spans="1:5" x14ac:dyDescent="0.25">
      <c r="A51" s="32" t="s">
        <v>163</v>
      </c>
      <c r="B51" s="32"/>
      <c r="C51" s="32"/>
      <c r="D51" s="32"/>
      <c r="E51" s="32"/>
    </row>
    <row r="52" spans="1:5" ht="15.75" x14ac:dyDescent="0.25">
      <c r="A52" s="9" t="s">
        <v>4</v>
      </c>
      <c r="B52" s="9" t="s">
        <v>5</v>
      </c>
      <c r="C52" s="9" t="s">
        <v>6</v>
      </c>
      <c r="D52" s="9" t="s">
        <v>7</v>
      </c>
      <c r="E52" s="9" t="s">
        <v>8</v>
      </c>
    </row>
    <row r="53" spans="1:5" ht="49.5" customHeight="1" x14ac:dyDescent="0.25">
      <c r="A53" s="9"/>
      <c r="B53" s="12" t="s">
        <v>96</v>
      </c>
      <c r="C53" s="9"/>
      <c r="D53" s="9"/>
      <c r="E53" s="9"/>
    </row>
    <row r="54" spans="1:5" ht="36" customHeight="1" x14ac:dyDescent="0.25">
      <c r="A54" s="9"/>
      <c r="B54" s="12" t="s">
        <v>157</v>
      </c>
      <c r="C54" s="9"/>
      <c r="D54" s="9"/>
      <c r="E54" s="9"/>
    </row>
    <row r="55" spans="1:5" ht="60" x14ac:dyDescent="0.25">
      <c r="A55" s="9"/>
      <c r="B55" s="12" t="s">
        <v>158</v>
      </c>
      <c r="C55" s="9"/>
      <c r="D55" s="9"/>
      <c r="E55" s="9"/>
    </row>
    <row r="56" spans="1:5" ht="45.75" customHeight="1" x14ac:dyDescent="0.25">
      <c r="A56" s="9"/>
      <c r="B56" s="12" t="s">
        <v>159</v>
      </c>
      <c r="C56" s="9"/>
      <c r="D56" s="9"/>
      <c r="E56" s="9"/>
    </row>
    <row r="57" spans="1:5" ht="52.5" customHeight="1" x14ac:dyDescent="0.25">
      <c r="A57" s="9"/>
      <c r="B57" s="12" t="s">
        <v>160</v>
      </c>
      <c r="C57" s="9"/>
      <c r="D57" s="9"/>
      <c r="E57" s="9"/>
    </row>
    <row r="58" spans="1:5" ht="114" customHeight="1" x14ac:dyDescent="0.25">
      <c r="A58" s="9"/>
      <c r="B58" s="12" t="s">
        <v>161</v>
      </c>
      <c r="C58" s="9"/>
      <c r="D58" s="9"/>
      <c r="E58" s="9"/>
    </row>
    <row r="59" spans="1:5" ht="116.25" customHeight="1" x14ac:dyDescent="0.25">
      <c r="A59" s="9"/>
      <c r="B59" s="12" t="s">
        <v>162</v>
      </c>
      <c r="C59" s="9"/>
      <c r="D59" s="9"/>
      <c r="E59" s="9"/>
    </row>
    <row r="60" spans="1:5" ht="66" customHeight="1" x14ac:dyDescent="0.25">
      <c r="A60" s="6"/>
      <c r="B60" s="7" t="s">
        <v>97</v>
      </c>
      <c r="C60" s="34" t="s">
        <v>110</v>
      </c>
      <c r="D60" s="6"/>
      <c r="E60" s="6"/>
    </row>
    <row r="61" spans="1:5" ht="72.75" customHeight="1" x14ac:dyDescent="0.25">
      <c r="A61" s="6"/>
      <c r="B61" s="7" t="s">
        <v>98</v>
      </c>
      <c r="C61" s="34"/>
      <c r="D61" s="6"/>
      <c r="E61" s="6"/>
    </row>
    <row r="62" spans="1:5" ht="30" x14ac:dyDescent="0.25">
      <c r="A62" s="6"/>
      <c r="B62" s="7" t="s">
        <v>99</v>
      </c>
      <c r="C62" s="34"/>
      <c r="D62" s="6"/>
      <c r="E62" s="6"/>
    </row>
    <row r="63" spans="1:5" ht="120" x14ac:dyDescent="0.25">
      <c r="A63" s="6"/>
      <c r="B63" s="7" t="s">
        <v>100</v>
      </c>
      <c r="C63" s="34"/>
      <c r="D63" s="6"/>
      <c r="E63" s="6"/>
    </row>
    <row r="64" spans="1:5" ht="30" x14ac:dyDescent="0.25">
      <c r="A64" s="6"/>
      <c r="B64" s="7" t="s">
        <v>101</v>
      </c>
      <c r="C64" s="34"/>
      <c r="D64" s="6"/>
      <c r="E64" s="6"/>
    </row>
    <row r="65" spans="1:5" ht="45" x14ac:dyDescent="0.25">
      <c r="A65" s="6"/>
      <c r="B65" s="7" t="s">
        <v>102</v>
      </c>
      <c r="C65" s="34"/>
      <c r="D65" s="6"/>
      <c r="E65" s="6"/>
    </row>
    <row r="66" spans="1:5" ht="21.75" customHeight="1" x14ac:dyDescent="0.25">
      <c r="A66" s="6"/>
      <c r="B66" s="7" t="s">
        <v>103</v>
      </c>
      <c r="C66" s="34"/>
      <c r="D66" s="6"/>
      <c r="E66" s="6"/>
    </row>
    <row r="67" spans="1:5" ht="54" customHeight="1" x14ac:dyDescent="0.25">
      <c r="A67" s="6"/>
      <c r="B67" s="7" t="s">
        <v>104</v>
      </c>
      <c r="C67" s="34"/>
      <c r="D67" s="6"/>
      <c r="E67" s="6"/>
    </row>
    <row r="68" spans="1:5" ht="37.5" customHeight="1" x14ac:dyDescent="0.25">
      <c r="A68" s="6"/>
      <c r="B68" s="7" t="s">
        <v>105</v>
      </c>
      <c r="C68" s="34"/>
      <c r="D68" s="6"/>
      <c r="E68" s="6"/>
    </row>
    <row r="69" spans="1:5" ht="75" x14ac:dyDescent="0.25">
      <c r="A69" s="6"/>
      <c r="B69" s="7" t="s">
        <v>106</v>
      </c>
      <c r="C69" s="34"/>
      <c r="D69" s="6"/>
      <c r="E69" s="6"/>
    </row>
    <row r="70" spans="1:5" ht="70.5" customHeight="1" x14ac:dyDescent="0.25">
      <c r="A70" s="6"/>
      <c r="B70" s="7" t="s">
        <v>107</v>
      </c>
      <c r="C70" s="34"/>
      <c r="D70" s="6"/>
      <c r="E70" s="6"/>
    </row>
    <row r="71" spans="1:5" ht="60" x14ac:dyDescent="0.25">
      <c r="A71" s="6"/>
      <c r="B71" s="7" t="s">
        <v>108</v>
      </c>
      <c r="C71" s="34"/>
      <c r="D71" s="6"/>
      <c r="E71" s="6"/>
    </row>
    <row r="72" spans="1:5" ht="189.75" customHeight="1" x14ac:dyDescent="0.25">
      <c r="A72" s="6"/>
      <c r="B72" s="13" t="s">
        <v>109</v>
      </c>
      <c r="C72" s="33"/>
      <c r="D72" s="33"/>
      <c r="E72" s="33"/>
    </row>
    <row r="73" spans="1:5" x14ac:dyDescent="0.25">
      <c r="A73" s="26" t="s">
        <v>111</v>
      </c>
      <c r="B73" s="26"/>
      <c r="C73" s="26"/>
      <c r="D73" s="26"/>
      <c r="E73" s="26"/>
    </row>
    <row r="74" spans="1:5" ht="15.75" x14ac:dyDescent="0.25">
      <c r="A74" s="14" t="s">
        <v>4</v>
      </c>
      <c r="B74" s="14" t="s">
        <v>5</v>
      </c>
      <c r="C74" s="14" t="s">
        <v>6</v>
      </c>
      <c r="D74" s="14" t="s">
        <v>7</v>
      </c>
      <c r="E74" s="14" t="s">
        <v>8</v>
      </c>
    </row>
    <row r="75" spans="1:5" ht="21" customHeight="1" x14ac:dyDescent="0.25">
      <c r="A75" s="5" t="s">
        <v>112</v>
      </c>
      <c r="B75" s="5" t="s">
        <v>120</v>
      </c>
      <c r="C75" s="23" t="s">
        <v>94</v>
      </c>
      <c r="D75" s="6"/>
      <c r="E75" s="6"/>
    </row>
    <row r="76" spans="1:5" ht="21" customHeight="1" x14ac:dyDescent="0.25">
      <c r="A76" s="5" t="s">
        <v>113</v>
      </c>
      <c r="B76" s="5" t="s">
        <v>121</v>
      </c>
      <c r="C76" s="23"/>
      <c r="D76" s="6"/>
      <c r="E76" s="6"/>
    </row>
    <row r="77" spans="1:5" ht="21" customHeight="1" x14ac:dyDescent="0.25">
      <c r="A77" s="5" t="s">
        <v>114</v>
      </c>
      <c r="B77" s="5" t="s">
        <v>122</v>
      </c>
      <c r="C77" s="23"/>
      <c r="D77" s="6"/>
      <c r="E77" s="6"/>
    </row>
    <row r="78" spans="1:5" ht="21" customHeight="1" x14ac:dyDescent="0.25">
      <c r="A78" s="5" t="s">
        <v>115</v>
      </c>
      <c r="B78" s="5" t="s">
        <v>123</v>
      </c>
      <c r="C78" s="23"/>
      <c r="D78" s="6"/>
      <c r="E78" s="6"/>
    </row>
    <row r="79" spans="1:5" ht="21" customHeight="1" x14ac:dyDescent="0.25">
      <c r="A79" s="5" t="s">
        <v>116</v>
      </c>
      <c r="B79" s="5" t="s">
        <v>124</v>
      </c>
      <c r="C79" s="23"/>
      <c r="D79" s="6"/>
      <c r="E79" s="6"/>
    </row>
    <row r="80" spans="1:5" ht="21" customHeight="1" x14ac:dyDescent="0.25">
      <c r="A80" s="5" t="s">
        <v>117</v>
      </c>
      <c r="B80" s="5" t="s">
        <v>125</v>
      </c>
      <c r="C80" s="23"/>
      <c r="D80" s="6"/>
      <c r="E80" s="6"/>
    </row>
    <row r="81" spans="1:5" ht="21" customHeight="1" x14ac:dyDescent="0.25">
      <c r="A81" s="5" t="s">
        <v>118</v>
      </c>
      <c r="B81" s="5" t="s">
        <v>126</v>
      </c>
      <c r="C81" s="23"/>
      <c r="D81" s="6"/>
      <c r="E81" s="6"/>
    </row>
    <row r="82" spans="1:5" ht="21" customHeight="1" x14ac:dyDescent="0.25">
      <c r="A82" s="5" t="s">
        <v>119</v>
      </c>
      <c r="B82" s="5" t="s">
        <v>127</v>
      </c>
      <c r="C82" s="23"/>
      <c r="D82" s="6"/>
      <c r="E82" s="6"/>
    </row>
    <row r="83" spans="1:5" ht="21" customHeight="1" x14ac:dyDescent="0.25">
      <c r="A83" s="5" t="s">
        <v>128</v>
      </c>
      <c r="B83" s="15" t="s">
        <v>129</v>
      </c>
      <c r="C83" s="23"/>
      <c r="D83" s="6"/>
      <c r="E83" s="6"/>
    </row>
    <row r="84" spans="1:5" ht="15" customHeight="1" x14ac:dyDescent="0.25">
      <c r="A84" s="27" t="s">
        <v>130</v>
      </c>
      <c r="B84" s="27"/>
      <c r="C84" s="27"/>
      <c r="D84" s="27"/>
      <c r="E84" s="27"/>
    </row>
    <row r="85" spans="1:5" ht="15.75" x14ac:dyDescent="0.25">
      <c r="A85" s="9" t="s">
        <v>4</v>
      </c>
      <c r="B85" s="9" t="s">
        <v>5</v>
      </c>
      <c r="C85" s="9" t="s">
        <v>6</v>
      </c>
      <c r="D85" s="9" t="s">
        <v>7</v>
      </c>
      <c r="E85" s="9" t="s">
        <v>8</v>
      </c>
    </row>
    <row r="86" spans="1:5" ht="18.75" customHeight="1" x14ac:dyDescent="0.25">
      <c r="A86" s="8" t="s">
        <v>131</v>
      </c>
      <c r="B86" s="5" t="s">
        <v>144</v>
      </c>
      <c r="C86" s="23" t="s">
        <v>94</v>
      </c>
      <c r="D86" s="6"/>
      <c r="E86" s="6"/>
    </row>
    <row r="87" spans="1:5" ht="18.75" customHeight="1" x14ac:dyDescent="0.25">
      <c r="A87" s="8" t="s">
        <v>132</v>
      </c>
      <c r="B87" s="5" t="s">
        <v>145</v>
      </c>
      <c r="C87" s="23"/>
      <c r="D87" s="6"/>
      <c r="E87" s="6"/>
    </row>
    <row r="88" spans="1:5" ht="18.75" customHeight="1" x14ac:dyDescent="0.25">
      <c r="A88" s="8" t="s">
        <v>133</v>
      </c>
      <c r="B88" s="5" t="s">
        <v>146</v>
      </c>
      <c r="C88" s="23"/>
      <c r="D88" s="6"/>
      <c r="E88" s="6"/>
    </row>
    <row r="89" spans="1:5" ht="18.75" customHeight="1" x14ac:dyDescent="0.25">
      <c r="A89" s="8" t="s">
        <v>134</v>
      </c>
      <c r="B89" s="5" t="s">
        <v>147</v>
      </c>
      <c r="C89" s="23"/>
      <c r="D89" s="6"/>
      <c r="E89" s="6"/>
    </row>
    <row r="90" spans="1:5" ht="18.75" customHeight="1" x14ac:dyDescent="0.25">
      <c r="A90" s="8" t="s">
        <v>135</v>
      </c>
      <c r="B90" s="5" t="s">
        <v>148</v>
      </c>
      <c r="C90" s="23"/>
      <c r="D90" s="6"/>
      <c r="E90" s="6"/>
    </row>
    <row r="91" spans="1:5" ht="18.75" customHeight="1" x14ac:dyDescent="0.25">
      <c r="A91" s="8" t="s">
        <v>136</v>
      </c>
      <c r="B91" s="5" t="s">
        <v>149</v>
      </c>
      <c r="C91" s="23"/>
      <c r="D91" s="6"/>
      <c r="E91" s="6"/>
    </row>
    <row r="92" spans="1:5" ht="18.75" customHeight="1" x14ac:dyDescent="0.25">
      <c r="A92" s="8" t="s">
        <v>137</v>
      </c>
      <c r="B92" s="5" t="s">
        <v>150</v>
      </c>
      <c r="C92" s="23"/>
      <c r="D92" s="6"/>
      <c r="E92" s="6"/>
    </row>
    <row r="93" spans="1:5" ht="18.75" customHeight="1" x14ac:dyDescent="0.25">
      <c r="A93" s="8" t="s">
        <v>138</v>
      </c>
      <c r="B93" s="5" t="s">
        <v>151</v>
      </c>
      <c r="C93" s="23"/>
      <c r="D93" s="6"/>
      <c r="E93" s="6"/>
    </row>
    <row r="94" spans="1:5" ht="18.75" customHeight="1" x14ac:dyDescent="0.25">
      <c r="A94" s="8" t="s">
        <v>139</v>
      </c>
      <c r="B94" s="5" t="s">
        <v>152</v>
      </c>
      <c r="C94" s="23"/>
      <c r="D94" s="6"/>
      <c r="E94" s="6"/>
    </row>
    <row r="95" spans="1:5" ht="18.75" customHeight="1" x14ac:dyDescent="0.25">
      <c r="A95" s="8" t="s">
        <v>140</v>
      </c>
      <c r="B95" s="5" t="s">
        <v>153</v>
      </c>
      <c r="C95" s="23"/>
      <c r="D95" s="6"/>
      <c r="E95" s="6"/>
    </row>
    <row r="96" spans="1:5" ht="18.75" customHeight="1" x14ac:dyDescent="0.25">
      <c r="A96" s="8" t="s">
        <v>141</v>
      </c>
      <c r="B96" s="5" t="s">
        <v>154</v>
      </c>
      <c r="C96" s="23"/>
      <c r="D96" s="6"/>
      <c r="E96" s="6"/>
    </row>
    <row r="97" spans="1:5" ht="18.75" customHeight="1" x14ac:dyDescent="0.25">
      <c r="A97" s="8" t="s">
        <v>142</v>
      </c>
      <c r="B97" s="5" t="s">
        <v>155</v>
      </c>
      <c r="C97" s="23"/>
      <c r="D97" s="6"/>
      <c r="E97" s="6"/>
    </row>
    <row r="98" spans="1:5" ht="18.75" customHeight="1" x14ac:dyDescent="0.25">
      <c r="A98" s="8" t="s">
        <v>143</v>
      </c>
      <c r="B98" s="5" t="s">
        <v>156</v>
      </c>
      <c r="C98" s="23"/>
      <c r="D98" s="6"/>
      <c r="E98" s="6"/>
    </row>
    <row r="99" spans="1:5" x14ac:dyDescent="0.25">
      <c r="A99" s="27" t="s">
        <v>164</v>
      </c>
      <c r="B99" s="27"/>
      <c r="C99" s="27"/>
      <c r="D99" s="27"/>
      <c r="E99" s="27"/>
    </row>
    <row r="100" spans="1:5" ht="15.75" x14ac:dyDescent="0.25">
      <c r="A100" s="14" t="s">
        <v>4</v>
      </c>
      <c r="B100" s="14" t="s">
        <v>5</v>
      </c>
      <c r="C100" s="14" t="s">
        <v>6</v>
      </c>
      <c r="D100" s="14" t="s">
        <v>7</v>
      </c>
      <c r="E100" s="14" t="s">
        <v>8</v>
      </c>
    </row>
    <row r="101" spans="1:5" ht="24" customHeight="1" x14ac:dyDescent="0.25">
      <c r="A101" s="5" t="s">
        <v>165</v>
      </c>
      <c r="B101" s="5" t="s">
        <v>172</v>
      </c>
      <c r="C101" s="23" t="s">
        <v>94</v>
      </c>
      <c r="D101" s="6"/>
      <c r="E101" s="6"/>
    </row>
    <row r="102" spans="1:5" ht="24" customHeight="1" x14ac:dyDescent="0.25">
      <c r="A102" s="5" t="s">
        <v>166</v>
      </c>
      <c r="B102" s="5" t="s">
        <v>173</v>
      </c>
      <c r="C102" s="23"/>
      <c r="D102" s="6"/>
      <c r="E102" s="6"/>
    </row>
    <row r="103" spans="1:5" ht="24" customHeight="1" x14ac:dyDescent="0.25">
      <c r="A103" s="5" t="s">
        <v>167</v>
      </c>
      <c r="B103" s="5" t="s">
        <v>174</v>
      </c>
      <c r="C103" s="23"/>
      <c r="D103" s="6"/>
      <c r="E103" s="6"/>
    </row>
    <row r="104" spans="1:5" ht="24" customHeight="1" x14ac:dyDescent="0.25">
      <c r="A104" s="5" t="s">
        <v>168</v>
      </c>
      <c r="B104" s="5" t="s">
        <v>175</v>
      </c>
      <c r="C104" s="23"/>
      <c r="D104" s="6"/>
      <c r="E104" s="6"/>
    </row>
    <row r="105" spans="1:5" ht="24" customHeight="1" x14ac:dyDescent="0.25">
      <c r="A105" s="5" t="s">
        <v>169</v>
      </c>
      <c r="B105" s="5" t="s">
        <v>176</v>
      </c>
      <c r="C105" s="23"/>
      <c r="D105" s="6"/>
      <c r="E105" s="6"/>
    </row>
    <row r="106" spans="1:5" ht="24" customHeight="1" x14ac:dyDescent="0.25">
      <c r="A106" s="5" t="s">
        <v>170</v>
      </c>
      <c r="B106" s="5" t="s">
        <v>177</v>
      </c>
      <c r="C106" s="23"/>
      <c r="D106" s="6"/>
      <c r="E106" s="6"/>
    </row>
    <row r="107" spans="1:5" ht="32.25" customHeight="1" x14ac:dyDescent="0.25">
      <c r="A107" s="5" t="s">
        <v>171</v>
      </c>
      <c r="B107" s="5" t="s">
        <v>178</v>
      </c>
      <c r="C107" s="23"/>
      <c r="D107" s="6"/>
      <c r="E107" s="6"/>
    </row>
    <row r="108" spans="1:5" x14ac:dyDescent="0.25">
      <c r="A108" s="27" t="s">
        <v>179</v>
      </c>
      <c r="B108" s="27"/>
      <c r="C108" s="27"/>
      <c r="D108" s="27"/>
      <c r="E108" s="27"/>
    </row>
    <row r="109" spans="1:5" ht="15.75" x14ac:dyDescent="0.25">
      <c r="A109" s="14" t="s">
        <v>4</v>
      </c>
      <c r="B109" s="14" t="s">
        <v>5</v>
      </c>
      <c r="C109" s="14" t="s">
        <v>6</v>
      </c>
      <c r="D109" s="14" t="s">
        <v>7</v>
      </c>
      <c r="E109" s="14" t="s">
        <v>8</v>
      </c>
    </row>
    <row r="110" spans="1:5" ht="26.25" customHeight="1" x14ac:dyDescent="0.25">
      <c r="A110" s="15" t="s">
        <v>204</v>
      </c>
      <c r="B110" s="5" t="s">
        <v>180</v>
      </c>
      <c r="C110" s="23" t="s">
        <v>94</v>
      </c>
      <c r="D110" s="6"/>
      <c r="E110" s="6"/>
    </row>
    <row r="111" spans="1:5" ht="31.5" customHeight="1" x14ac:dyDescent="0.25">
      <c r="A111" s="15" t="s">
        <v>205</v>
      </c>
      <c r="B111" s="5" t="s">
        <v>181</v>
      </c>
      <c r="C111" s="23"/>
      <c r="D111" s="6"/>
      <c r="E111" s="6"/>
    </row>
    <row r="112" spans="1:5" ht="26.25" customHeight="1" x14ac:dyDescent="0.25">
      <c r="A112" s="15" t="s">
        <v>206</v>
      </c>
      <c r="B112" s="5" t="s">
        <v>182</v>
      </c>
      <c r="C112" s="23"/>
      <c r="D112" s="6"/>
      <c r="E112" s="6"/>
    </row>
    <row r="113" spans="1:5" ht="31.5" customHeight="1" x14ac:dyDescent="0.25">
      <c r="A113" s="15" t="s">
        <v>207</v>
      </c>
      <c r="B113" s="5" t="s">
        <v>183</v>
      </c>
      <c r="C113" s="23"/>
      <c r="D113" s="6"/>
      <c r="E113" s="6"/>
    </row>
    <row r="114" spans="1:5" ht="26.25" customHeight="1" x14ac:dyDescent="0.25">
      <c r="A114" s="15" t="s">
        <v>208</v>
      </c>
      <c r="B114" s="5" t="s">
        <v>184</v>
      </c>
      <c r="C114" s="23"/>
      <c r="D114" s="6"/>
      <c r="E114" s="6"/>
    </row>
    <row r="115" spans="1:5" ht="26.25" customHeight="1" x14ac:dyDescent="0.25">
      <c r="A115" s="15" t="s">
        <v>209</v>
      </c>
      <c r="B115" s="5" t="s">
        <v>185</v>
      </c>
      <c r="C115" s="23"/>
      <c r="D115" s="6"/>
      <c r="E115" s="6"/>
    </row>
    <row r="116" spans="1:5" ht="26.25" customHeight="1" x14ac:dyDescent="0.25">
      <c r="A116" s="15" t="s">
        <v>210</v>
      </c>
      <c r="B116" s="5" t="s">
        <v>186</v>
      </c>
      <c r="C116" s="23"/>
      <c r="D116" s="6"/>
      <c r="E116" s="6"/>
    </row>
    <row r="117" spans="1:5" ht="26.25" customHeight="1" x14ac:dyDescent="0.25">
      <c r="A117" s="15" t="s">
        <v>211</v>
      </c>
      <c r="B117" s="5" t="s">
        <v>187</v>
      </c>
      <c r="C117" s="23"/>
      <c r="D117" s="6"/>
      <c r="E117" s="6"/>
    </row>
    <row r="118" spans="1:5" ht="26.25" customHeight="1" x14ac:dyDescent="0.25">
      <c r="A118" s="15" t="s">
        <v>212</v>
      </c>
      <c r="B118" s="5" t="s">
        <v>188</v>
      </c>
      <c r="C118" s="23"/>
      <c r="D118" s="6"/>
      <c r="E118" s="6"/>
    </row>
    <row r="119" spans="1:5" ht="26.25" customHeight="1" x14ac:dyDescent="0.25">
      <c r="A119" s="15" t="s">
        <v>213</v>
      </c>
      <c r="B119" s="5" t="s">
        <v>189</v>
      </c>
      <c r="C119" s="23"/>
      <c r="D119" s="6"/>
      <c r="E119" s="6"/>
    </row>
    <row r="120" spans="1:5" ht="26.25" customHeight="1" x14ac:dyDescent="0.25">
      <c r="A120" s="15" t="s">
        <v>214</v>
      </c>
      <c r="B120" s="5" t="s">
        <v>190</v>
      </c>
      <c r="C120" s="23"/>
      <c r="D120" s="6"/>
      <c r="E120" s="6"/>
    </row>
    <row r="121" spans="1:5" ht="30" customHeight="1" x14ac:dyDescent="0.25">
      <c r="A121" s="15" t="s">
        <v>215</v>
      </c>
      <c r="B121" s="5" t="s">
        <v>191</v>
      </c>
      <c r="C121" s="23"/>
      <c r="D121" s="6"/>
      <c r="E121" s="6"/>
    </row>
    <row r="122" spans="1:5" ht="31.5" customHeight="1" x14ac:dyDescent="0.25">
      <c r="A122" s="15" t="s">
        <v>216</v>
      </c>
      <c r="B122" s="5" t="s">
        <v>192</v>
      </c>
      <c r="C122" s="23"/>
      <c r="D122" s="6"/>
      <c r="E122" s="6"/>
    </row>
    <row r="123" spans="1:5" ht="26.25" customHeight="1" x14ac:dyDescent="0.25">
      <c r="A123" s="15" t="s">
        <v>217</v>
      </c>
      <c r="B123" s="5" t="s">
        <v>193</v>
      </c>
      <c r="C123" s="23"/>
      <c r="D123" s="6"/>
      <c r="E123" s="6"/>
    </row>
    <row r="124" spans="1:5" ht="26.25" customHeight="1" x14ac:dyDescent="0.25">
      <c r="A124" s="15" t="s">
        <v>218</v>
      </c>
      <c r="B124" s="5" t="s">
        <v>194</v>
      </c>
      <c r="C124" s="23"/>
      <c r="D124" s="6"/>
      <c r="E124" s="6"/>
    </row>
    <row r="125" spans="1:5" ht="26.25" customHeight="1" x14ac:dyDescent="0.25">
      <c r="A125" s="15" t="s">
        <v>219</v>
      </c>
      <c r="B125" s="5" t="s">
        <v>195</v>
      </c>
      <c r="C125" s="23"/>
      <c r="D125" s="6"/>
      <c r="E125" s="6"/>
    </row>
    <row r="126" spans="1:5" ht="26.25" customHeight="1" x14ac:dyDescent="0.25">
      <c r="A126" s="15" t="s">
        <v>220</v>
      </c>
      <c r="B126" s="5" t="s">
        <v>196</v>
      </c>
      <c r="C126" s="23"/>
      <c r="D126" s="6"/>
      <c r="E126" s="6"/>
    </row>
    <row r="127" spans="1:5" ht="26.25" customHeight="1" x14ac:dyDescent="0.25">
      <c r="A127" s="15" t="s">
        <v>221</v>
      </c>
      <c r="B127" s="5" t="s">
        <v>197</v>
      </c>
      <c r="C127" s="23"/>
      <c r="D127" s="6"/>
      <c r="E127" s="6"/>
    </row>
    <row r="128" spans="1:5" ht="26.25" customHeight="1" x14ac:dyDescent="0.25">
      <c r="A128" s="15" t="s">
        <v>222</v>
      </c>
      <c r="B128" s="5" t="s">
        <v>198</v>
      </c>
      <c r="C128" s="23"/>
      <c r="D128" s="6"/>
      <c r="E128" s="6"/>
    </row>
    <row r="129" spans="1:5" ht="26.25" customHeight="1" x14ac:dyDescent="0.25">
      <c r="A129" s="15" t="s">
        <v>223</v>
      </c>
      <c r="B129" s="5" t="s">
        <v>199</v>
      </c>
      <c r="C129" s="23"/>
      <c r="D129" s="6"/>
      <c r="E129" s="6"/>
    </row>
    <row r="130" spans="1:5" ht="26.25" customHeight="1" x14ac:dyDescent="0.25">
      <c r="A130" s="15" t="s">
        <v>224</v>
      </c>
      <c r="B130" s="5" t="s">
        <v>200</v>
      </c>
      <c r="C130" s="23"/>
      <c r="D130" s="6"/>
      <c r="E130" s="6"/>
    </row>
    <row r="131" spans="1:5" ht="26.25" customHeight="1" x14ac:dyDescent="0.25">
      <c r="A131" s="15" t="s">
        <v>225</v>
      </c>
      <c r="B131" s="5" t="s">
        <v>201</v>
      </c>
      <c r="C131" s="23"/>
      <c r="D131" s="6"/>
      <c r="E131" s="6"/>
    </row>
    <row r="132" spans="1:5" ht="26.25" customHeight="1" x14ac:dyDescent="0.25">
      <c r="A132" s="15" t="s">
        <v>226</v>
      </c>
      <c r="B132" s="5" t="s">
        <v>202</v>
      </c>
      <c r="C132" s="23"/>
      <c r="D132" s="6"/>
      <c r="E132" s="6"/>
    </row>
    <row r="133" spans="1:5" ht="26.25" customHeight="1" x14ac:dyDescent="0.25">
      <c r="A133" s="15" t="s">
        <v>227</v>
      </c>
      <c r="B133" s="5" t="s">
        <v>203</v>
      </c>
      <c r="C133" s="23"/>
      <c r="D133" s="6"/>
      <c r="E133" s="6"/>
    </row>
    <row r="136" spans="1:5" x14ac:dyDescent="0.25">
      <c r="A136" s="24" t="s">
        <v>228</v>
      </c>
      <c r="B136" s="24"/>
      <c r="C136" s="24"/>
      <c r="D136" s="24"/>
      <c r="E136" s="24"/>
    </row>
    <row r="137" spans="1:5" x14ac:dyDescent="0.25">
      <c r="A137" s="25" t="s">
        <v>229</v>
      </c>
      <c r="B137" s="25"/>
      <c r="C137" s="25"/>
      <c r="D137" s="25"/>
      <c r="E137" s="25"/>
    </row>
    <row r="138" spans="1:5" ht="15.75" x14ac:dyDescent="0.25">
      <c r="A138" s="9" t="s">
        <v>4</v>
      </c>
      <c r="B138" s="9" t="s">
        <v>5</v>
      </c>
      <c r="C138" s="9" t="s">
        <v>6</v>
      </c>
      <c r="D138" s="9" t="s">
        <v>7</v>
      </c>
      <c r="E138" s="9" t="s">
        <v>8</v>
      </c>
    </row>
    <row r="139" spans="1:5" ht="18" customHeight="1" x14ac:dyDescent="0.25">
      <c r="A139" s="6"/>
      <c r="B139" s="4" t="s">
        <v>230</v>
      </c>
      <c r="C139" s="20"/>
      <c r="D139" s="6"/>
      <c r="E139" s="6"/>
    </row>
    <row r="140" spans="1:5" ht="29.25" customHeight="1" x14ac:dyDescent="0.25">
      <c r="A140" s="6"/>
      <c r="B140" s="13" t="s">
        <v>231</v>
      </c>
      <c r="C140" s="21"/>
      <c r="D140" s="6"/>
      <c r="E140" s="6"/>
    </row>
    <row r="141" spans="1:5" ht="19.5" customHeight="1" x14ac:dyDescent="0.25">
      <c r="A141" s="6"/>
      <c r="B141" s="4" t="s">
        <v>232</v>
      </c>
      <c r="C141" s="21"/>
      <c r="D141" s="6"/>
      <c r="E141" s="6"/>
    </row>
    <row r="142" spans="1:5" ht="20.25" customHeight="1" x14ac:dyDescent="0.25">
      <c r="A142" s="6"/>
      <c r="B142" s="4" t="s">
        <v>233</v>
      </c>
      <c r="C142" s="21"/>
      <c r="D142" s="6"/>
      <c r="E142" s="6"/>
    </row>
    <row r="143" spans="1:5" ht="30.75" customHeight="1" x14ac:dyDescent="0.25">
      <c r="A143" s="6"/>
      <c r="B143" s="7" t="s">
        <v>234</v>
      </c>
      <c r="C143" s="21"/>
      <c r="D143" s="6"/>
      <c r="E143" s="6"/>
    </row>
    <row r="144" spans="1:5" ht="24.75" customHeight="1" x14ac:dyDescent="0.25">
      <c r="A144" s="6"/>
      <c r="B144" s="16" t="s">
        <v>235</v>
      </c>
      <c r="C144" s="21"/>
      <c r="D144" s="6"/>
      <c r="E144" s="6"/>
    </row>
    <row r="145" spans="1:5" ht="18.75" customHeight="1" x14ac:dyDescent="0.25">
      <c r="A145" s="6"/>
      <c r="B145" s="17" t="s">
        <v>236</v>
      </c>
      <c r="C145" s="21"/>
      <c r="D145" s="6"/>
      <c r="E145" s="6"/>
    </row>
    <row r="146" spans="1:5" ht="18.75" customHeight="1" x14ac:dyDescent="0.25">
      <c r="A146" s="6"/>
      <c r="B146" s="13" t="s">
        <v>237</v>
      </c>
      <c r="C146" s="21"/>
      <c r="D146" s="6"/>
      <c r="E146" s="6"/>
    </row>
    <row r="147" spans="1:5" ht="21" customHeight="1" x14ac:dyDescent="0.25">
      <c r="A147" s="6"/>
      <c r="B147" s="13" t="s">
        <v>238</v>
      </c>
      <c r="C147" s="21"/>
      <c r="D147" s="6"/>
      <c r="E147" s="6"/>
    </row>
    <row r="148" spans="1:5" ht="19.5" customHeight="1" x14ac:dyDescent="0.25">
      <c r="A148" s="6"/>
      <c r="B148" s="13" t="s">
        <v>239</v>
      </c>
      <c r="C148" s="21"/>
      <c r="D148" s="6"/>
      <c r="E148" s="6"/>
    </row>
    <row r="149" spans="1:5" ht="21.75" customHeight="1" x14ac:dyDescent="0.25">
      <c r="A149" s="6"/>
      <c r="B149" s="13" t="s">
        <v>240</v>
      </c>
      <c r="C149" s="21"/>
      <c r="D149" s="6"/>
      <c r="E149" s="6"/>
    </row>
    <row r="150" spans="1:5" ht="20.25" customHeight="1" x14ac:dyDescent="0.25">
      <c r="A150" s="6"/>
      <c r="B150" s="13" t="s">
        <v>241</v>
      </c>
      <c r="C150" s="21"/>
      <c r="D150" s="6"/>
      <c r="E150" s="6"/>
    </row>
    <row r="151" spans="1:5" ht="19.5" customHeight="1" x14ac:dyDescent="0.25">
      <c r="A151" s="6"/>
      <c r="B151" s="13" t="s">
        <v>240</v>
      </c>
      <c r="C151" s="21"/>
      <c r="D151" s="6"/>
      <c r="E151" s="6"/>
    </row>
    <row r="152" spans="1:5" ht="29.25" customHeight="1" x14ac:dyDescent="0.25">
      <c r="A152" s="6"/>
      <c r="B152" s="13" t="s">
        <v>242</v>
      </c>
      <c r="C152" s="21"/>
      <c r="D152" s="6"/>
      <c r="E152" s="6"/>
    </row>
    <row r="153" spans="1:5" ht="18" customHeight="1" x14ac:dyDescent="0.25">
      <c r="A153" s="6"/>
      <c r="B153" s="13" t="s">
        <v>240</v>
      </c>
      <c r="C153" s="21"/>
      <c r="D153" s="6"/>
      <c r="E153" s="6"/>
    </row>
    <row r="154" spans="1:5" ht="30.75" customHeight="1" x14ac:dyDescent="0.25">
      <c r="A154" s="6"/>
      <c r="B154" s="13" t="s">
        <v>243</v>
      </c>
      <c r="C154" s="21"/>
      <c r="D154" s="6"/>
      <c r="E154" s="6"/>
    </row>
    <row r="155" spans="1:5" ht="16.5" customHeight="1" x14ac:dyDescent="0.25">
      <c r="A155" s="6"/>
      <c r="B155" s="13" t="s">
        <v>240</v>
      </c>
      <c r="C155" s="21"/>
      <c r="D155" s="6"/>
      <c r="E155" s="6"/>
    </row>
    <row r="156" spans="1:5" ht="28.5" customHeight="1" x14ac:dyDescent="0.25">
      <c r="A156" s="6"/>
      <c r="B156" s="13" t="s">
        <v>244</v>
      </c>
      <c r="C156" s="21"/>
      <c r="D156" s="6"/>
      <c r="E156" s="6"/>
    </row>
    <row r="157" spans="1:5" ht="17.25" customHeight="1" x14ac:dyDescent="0.25">
      <c r="A157" s="6"/>
      <c r="B157" s="13" t="s">
        <v>245</v>
      </c>
      <c r="C157" s="21"/>
      <c r="D157" s="6"/>
      <c r="E157" s="6"/>
    </row>
    <row r="158" spans="1:5" ht="28.5" customHeight="1" x14ac:dyDescent="0.25">
      <c r="A158" s="6"/>
      <c r="B158" s="13" t="s">
        <v>246</v>
      </c>
      <c r="C158" s="21"/>
      <c r="D158" s="6"/>
      <c r="E158" s="6"/>
    </row>
    <row r="159" spans="1:5" ht="18" customHeight="1" x14ac:dyDescent="0.25">
      <c r="A159" s="6"/>
      <c r="B159" s="13" t="s">
        <v>247</v>
      </c>
      <c r="C159" s="21"/>
      <c r="D159" s="6"/>
      <c r="E159" s="6"/>
    </row>
    <row r="160" spans="1:5" ht="19.5" customHeight="1" x14ac:dyDescent="0.25">
      <c r="A160" s="6"/>
      <c r="B160" s="13" t="s">
        <v>248</v>
      </c>
      <c r="C160" s="21"/>
      <c r="D160" s="6"/>
      <c r="E160" s="6"/>
    </row>
    <row r="161" spans="1:5" ht="17.25" customHeight="1" x14ac:dyDescent="0.25">
      <c r="A161" s="6"/>
      <c r="B161" s="13" t="s">
        <v>249</v>
      </c>
      <c r="C161" s="21"/>
      <c r="D161" s="6"/>
      <c r="E161" s="6"/>
    </row>
    <row r="162" spans="1:5" ht="18.75" customHeight="1" x14ac:dyDescent="0.25">
      <c r="A162" s="6"/>
      <c r="B162" s="13" t="s">
        <v>250</v>
      </c>
      <c r="C162" s="21"/>
      <c r="D162" s="6"/>
      <c r="E162" s="6"/>
    </row>
    <row r="163" spans="1:5" ht="18" customHeight="1" x14ac:dyDescent="0.25">
      <c r="A163" s="6"/>
      <c r="B163" s="13" t="s">
        <v>251</v>
      </c>
      <c r="C163" s="21"/>
      <c r="D163" s="6"/>
      <c r="E163" s="6"/>
    </row>
    <row r="164" spans="1:5" ht="18.75" customHeight="1" x14ac:dyDescent="0.25">
      <c r="A164" s="6"/>
      <c r="B164" s="13" t="s">
        <v>252</v>
      </c>
      <c r="C164" s="21"/>
      <c r="D164" s="6"/>
      <c r="E164" s="6"/>
    </row>
    <row r="165" spans="1:5" ht="18" customHeight="1" x14ac:dyDescent="0.25">
      <c r="A165" s="6"/>
      <c r="B165" s="13" t="s">
        <v>253</v>
      </c>
      <c r="C165" s="21"/>
      <c r="D165" s="6"/>
      <c r="E165" s="6"/>
    </row>
    <row r="166" spans="1:5" ht="18" customHeight="1" x14ac:dyDescent="0.25">
      <c r="A166" s="6"/>
      <c r="B166" s="13" t="s">
        <v>255</v>
      </c>
      <c r="C166" s="21"/>
      <c r="D166" s="6"/>
      <c r="E166" s="6"/>
    </row>
    <row r="167" spans="1:5" ht="30" customHeight="1" x14ac:dyDescent="0.25">
      <c r="A167" s="6"/>
      <c r="B167" s="13" t="s">
        <v>256</v>
      </c>
      <c r="C167" s="21"/>
      <c r="D167" s="6"/>
      <c r="E167" s="6"/>
    </row>
    <row r="168" spans="1:5" ht="32.25" customHeight="1" x14ac:dyDescent="0.25">
      <c r="A168" s="6"/>
      <c r="B168" s="13" t="s">
        <v>257</v>
      </c>
      <c r="C168" s="22"/>
      <c r="D168" s="6"/>
      <c r="E168" s="6"/>
    </row>
    <row r="169" spans="1:5" x14ac:dyDescent="0.25">
      <c r="A169" s="27" t="s">
        <v>258</v>
      </c>
      <c r="B169" s="27"/>
      <c r="C169" s="27"/>
      <c r="D169" s="27"/>
      <c r="E169" s="27"/>
    </row>
    <row r="170" spans="1:5" ht="15.75" x14ac:dyDescent="0.25">
      <c r="A170" s="9" t="s">
        <v>4</v>
      </c>
      <c r="B170" s="9" t="s">
        <v>5</v>
      </c>
      <c r="C170" s="9" t="s">
        <v>6</v>
      </c>
      <c r="D170" s="9" t="s">
        <v>7</v>
      </c>
      <c r="E170" s="9" t="s">
        <v>8</v>
      </c>
    </row>
    <row r="171" spans="1:5" ht="37.5" customHeight="1" x14ac:dyDescent="0.25">
      <c r="A171" s="6"/>
      <c r="B171" s="13" t="s">
        <v>259</v>
      </c>
      <c r="C171" s="20"/>
      <c r="D171" s="6"/>
      <c r="E171" s="6"/>
    </row>
    <row r="172" spans="1:5" ht="37.5" customHeight="1" x14ac:dyDescent="0.25">
      <c r="A172" s="6"/>
      <c r="B172" s="13" t="s">
        <v>260</v>
      </c>
      <c r="C172" s="21"/>
      <c r="D172" s="6"/>
      <c r="E172" s="6"/>
    </row>
    <row r="173" spans="1:5" ht="37.5" customHeight="1" x14ac:dyDescent="0.25">
      <c r="A173" s="6"/>
      <c r="B173" s="13" t="s">
        <v>261</v>
      </c>
      <c r="C173" s="21"/>
      <c r="D173" s="6"/>
      <c r="E173" s="6"/>
    </row>
    <row r="174" spans="1:5" ht="37.5" customHeight="1" x14ac:dyDescent="0.25">
      <c r="A174" s="6"/>
      <c r="B174" s="13" t="s">
        <v>262</v>
      </c>
      <c r="C174" s="21"/>
      <c r="D174" s="6"/>
      <c r="E174" s="6"/>
    </row>
    <row r="175" spans="1:5" ht="37.5" customHeight="1" x14ac:dyDescent="0.25">
      <c r="A175" s="6"/>
      <c r="B175" s="13" t="s">
        <v>263</v>
      </c>
      <c r="C175" s="21"/>
      <c r="D175" s="6"/>
      <c r="E175" s="6"/>
    </row>
    <row r="176" spans="1:5" ht="37.5" customHeight="1" x14ac:dyDescent="0.25">
      <c r="A176" s="6"/>
      <c r="B176" s="13" t="s">
        <v>264</v>
      </c>
      <c r="C176" s="21"/>
      <c r="D176" s="6"/>
      <c r="E176" s="6"/>
    </row>
    <row r="177" spans="1:5" ht="37.5" customHeight="1" x14ac:dyDescent="0.25">
      <c r="A177" s="6"/>
      <c r="B177" s="13" t="s">
        <v>265</v>
      </c>
      <c r="C177" s="21"/>
      <c r="D177" s="6"/>
      <c r="E177" s="6"/>
    </row>
    <row r="178" spans="1:5" ht="32.25" customHeight="1" x14ac:dyDescent="0.25">
      <c r="A178" s="6"/>
      <c r="B178" s="13" t="s">
        <v>266</v>
      </c>
      <c r="C178" s="21"/>
      <c r="D178" s="6"/>
      <c r="E178" s="6"/>
    </row>
    <row r="179" spans="1:5" ht="32.25" customHeight="1" x14ac:dyDescent="0.25">
      <c r="A179" s="6"/>
      <c r="B179" s="13" t="s">
        <v>267</v>
      </c>
      <c r="C179" s="21"/>
      <c r="D179" s="6"/>
      <c r="E179" s="6"/>
    </row>
    <row r="180" spans="1:5" ht="32.25" customHeight="1" x14ac:dyDescent="0.25">
      <c r="A180" s="6"/>
      <c r="B180" s="13" t="s">
        <v>268</v>
      </c>
      <c r="C180" s="21"/>
      <c r="D180" s="6"/>
      <c r="E180" s="6"/>
    </row>
    <row r="181" spans="1:5" ht="32.25" customHeight="1" x14ac:dyDescent="0.25">
      <c r="A181" s="6"/>
      <c r="B181" s="13" t="s">
        <v>269</v>
      </c>
      <c r="C181" s="21"/>
      <c r="D181" s="6"/>
      <c r="E181" s="6"/>
    </row>
    <row r="182" spans="1:5" ht="37.5" customHeight="1" x14ac:dyDescent="0.25">
      <c r="A182" s="6"/>
      <c r="B182" s="13" t="s">
        <v>270</v>
      </c>
      <c r="C182" s="21"/>
      <c r="D182" s="6"/>
      <c r="E182" s="6"/>
    </row>
    <row r="183" spans="1:5" ht="29.25" customHeight="1" x14ac:dyDescent="0.25">
      <c r="A183" s="6"/>
      <c r="B183" s="13" t="s">
        <v>271</v>
      </c>
      <c r="C183" s="21"/>
      <c r="D183" s="6"/>
      <c r="E183" s="6"/>
    </row>
    <row r="184" spans="1:5" ht="37.5" customHeight="1" x14ac:dyDescent="0.25">
      <c r="A184" s="6"/>
      <c r="B184" s="13" t="s">
        <v>272</v>
      </c>
      <c r="C184" s="21"/>
      <c r="D184" s="6"/>
      <c r="E184" s="6"/>
    </row>
    <row r="185" spans="1:5" ht="37.5" customHeight="1" x14ac:dyDescent="0.25">
      <c r="A185" s="6"/>
      <c r="B185" s="13" t="s">
        <v>273</v>
      </c>
      <c r="C185" s="21"/>
      <c r="D185" s="6"/>
      <c r="E185" s="6"/>
    </row>
    <row r="186" spans="1:5" ht="37.5" customHeight="1" x14ac:dyDescent="0.25">
      <c r="A186" s="6"/>
      <c r="B186" s="13" t="s">
        <v>274</v>
      </c>
      <c r="C186" s="21"/>
      <c r="D186" s="6"/>
      <c r="E186" s="6"/>
    </row>
    <row r="187" spans="1:5" ht="37.5" customHeight="1" x14ac:dyDescent="0.25">
      <c r="A187" s="6"/>
      <c r="B187" s="13" t="s">
        <v>275</v>
      </c>
      <c r="C187" s="21"/>
      <c r="D187" s="6"/>
      <c r="E187" s="6"/>
    </row>
    <row r="188" spans="1:5" ht="27.75" customHeight="1" x14ac:dyDescent="0.25">
      <c r="A188" s="6"/>
      <c r="B188" s="13" t="s">
        <v>254</v>
      </c>
      <c r="C188" s="21"/>
      <c r="D188" s="6"/>
      <c r="E188" s="6"/>
    </row>
    <row r="189" spans="1:5" ht="37.5" customHeight="1" x14ac:dyDescent="0.25">
      <c r="A189" s="6"/>
      <c r="B189" s="13" t="s">
        <v>276</v>
      </c>
      <c r="C189" s="22"/>
      <c r="D189" s="6"/>
      <c r="E189" s="6"/>
    </row>
    <row r="190" spans="1:5" x14ac:dyDescent="0.25">
      <c r="A190" s="27" t="s">
        <v>277</v>
      </c>
      <c r="B190" s="27"/>
      <c r="C190" s="27"/>
      <c r="D190" s="27"/>
      <c r="E190" s="27"/>
    </row>
    <row r="191" spans="1:5" ht="15.75" x14ac:dyDescent="0.25">
      <c r="A191" s="14" t="s">
        <v>4</v>
      </c>
      <c r="B191" s="14" t="s">
        <v>5</v>
      </c>
      <c r="C191" s="14" t="s">
        <v>6</v>
      </c>
      <c r="D191" s="14" t="s">
        <v>7</v>
      </c>
      <c r="E191" s="14" t="s">
        <v>8</v>
      </c>
    </row>
    <row r="192" spans="1:5" ht="30" x14ac:dyDescent="0.25">
      <c r="A192" s="18" t="s">
        <v>278</v>
      </c>
      <c r="B192" s="7" t="s">
        <v>279</v>
      </c>
      <c r="C192" s="19"/>
      <c r="D192" s="6"/>
      <c r="E192" s="6"/>
    </row>
    <row r="193" spans="1:5" ht="30" x14ac:dyDescent="0.25">
      <c r="A193" s="18" t="s">
        <v>308</v>
      </c>
      <c r="B193" s="7" t="s">
        <v>280</v>
      </c>
      <c r="C193" s="19"/>
      <c r="D193" s="6"/>
      <c r="E193" s="6"/>
    </row>
    <row r="194" spans="1:5" ht="45" x14ac:dyDescent="0.25">
      <c r="A194" s="18" t="s">
        <v>309</v>
      </c>
      <c r="B194" s="7" t="s">
        <v>281</v>
      </c>
      <c r="C194" s="19"/>
      <c r="D194" s="6"/>
      <c r="E194" s="6"/>
    </row>
    <row r="195" spans="1:5" ht="30" x14ac:dyDescent="0.25">
      <c r="A195" s="18" t="s">
        <v>310</v>
      </c>
      <c r="B195" s="7" t="s">
        <v>282</v>
      </c>
      <c r="C195" s="19"/>
      <c r="D195" s="6"/>
      <c r="E195" s="6"/>
    </row>
    <row r="196" spans="1:5" ht="30" x14ac:dyDescent="0.25">
      <c r="A196" s="18" t="s">
        <v>311</v>
      </c>
      <c r="B196" s="7" t="s">
        <v>283</v>
      </c>
      <c r="C196" s="19"/>
      <c r="D196" s="6"/>
      <c r="E196" s="6"/>
    </row>
    <row r="197" spans="1:5" x14ac:dyDescent="0.25">
      <c r="A197" s="18" t="s">
        <v>312</v>
      </c>
      <c r="B197" s="7" t="s">
        <v>284</v>
      </c>
      <c r="C197" s="19"/>
      <c r="D197" s="6"/>
      <c r="E197" s="6"/>
    </row>
    <row r="198" spans="1:5" ht="30" x14ac:dyDescent="0.25">
      <c r="A198" s="18" t="s">
        <v>313</v>
      </c>
      <c r="B198" s="7" t="s">
        <v>285</v>
      </c>
      <c r="C198" s="19"/>
      <c r="D198" s="6"/>
      <c r="E198" s="6"/>
    </row>
    <row r="199" spans="1:5" x14ac:dyDescent="0.25">
      <c r="A199" s="18" t="s">
        <v>314</v>
      </c>
      <c r="B199" s="7" t="s">
        <v>286</v>
      </c>
      <c r="C199" s="19"/>
      <c r="D199" s="6"/>
      <c r="E199" s="6"/>
    </row>
    <row r="200" spans="1:5" x14ac:dyDescent="0.25">
      <c r="A200" s="18" t="s">
        <v>315</v>
      </c>
      <c r="B200" s="7" t="s">
        <v>287</v>
      </c>
      <c r="C200" s="19"/>
      <c r="D200" s="6"/>
      <c r="E200" s="6"/>
    </row>
    <row r="201" spans="1:5" x14ac:dyDescent="0.25">
      <c r="A201" s="18" t="s">
        <v>316</v>
      </c>
      <c r="B201" s="7" t="s">
        <v>288</v>
      </c>
      <c r="C201" s="19"/>
      <c r="D201" s="6"/>
      <c r="E201" s="6"/>
    </row>
    <row r="202" spans="1:5" ht="30" x14ac:dyDescent="0.25">
      <c r="A202" s="18" t="s">
        <v>317</v>
      </c>
      <c r="B202" s="7" t="s">
        <v>289</v>
      </c>
      <c r="C202" s="19"/>
      <c r="D202" s="6"/>
      <c r="E202" s="6"/>
    </row>
    <row r="203" spans="1:5" ht="45" x14ac:dyDescent="0.25">
      <c r="A203" s="18" t="s">
        <v>318</v>
      </c>
      <c r="B203" s="7" t="s">
        <v>290</v>
      </c>
      <c r="C203" s="19"/>
      <c r="D203" s="6"/>
      <c r="E203" s="6"/>
    </row>
    <row r="204" spans="1:5" x14ac:dyDescent="0.25">
      <c r="A204" s="18" t="s">
        <v>319</v>
      </c>
      <c r="B204" s="7" t="s">
        <v>291</v>
      </c>
      <c r="C204" s="19"/>
      <c r="D204" s="6"/>
      <c r="E204" s="6"/>
    </row>
    <row r="205" spans="1:5" x14ac:dyDescent="0.25">
      <c r="A205" s="18" t="s">
        <v>320</v>
      </c>
      <c r="B205" s="7" t="s">
        <v>292</v>
      </c>
      <c r="C205" s="19"/>
      <c r="D205" s="6"/>
      <c r="E205" s="6"/>
    </row>
    <row r="206" spans="1:5" x14ac:dyDescent="0.25">
      <c r="A206" s="18" t="s">
        <v>321</v>
      </c>
      <c r="B206" s="7" t="s">
        <v>293</v>
      </c>
      <c r="C206" s="19"/>
      <c r="D206" s="6"/>
      <c r="E206" s="6"/>
    </row>
    <row r="207" spans="1:5" ht="30" x14ac:dyDescent="0.25">
      <c r="A207" s="18" t="s">
        <v>322</v>
      </c>
      <c r="B207" s="7" t="s">
        <v>294</v>
      </c>
      <c r="C207" s="19"/>
      <c r="D207" s="6"/>
      <c r="E207" s="6"/>
    </row>
    <row r="208" spans="1:5" x14ac:dyDescent="0.25">
      <c r="A208" s="18" t="s">
        <v>323</v>
      </c>
      <c r="B208" s="7" t="s">
        <v>295</v>
      </c>
      <c r="C208" s="19"/>
      <c r="D208" s="6"/>
      <c r="E208" s="6"/>
    </row>
    <row r="209" spans="1:5" ht="30" x14ac:dyDescent="0.25">
      <c r="A209" s="18" t="s">
        <v>324</v>
      </c>
      <c r="B209" s="7" t="s">
        <v>296</v>
      </c>
      <c r="C209" s="19"/>
      <c r="D209" s="6"/>
      <c r="E209" s="6"/>
    </row>
    <row r="210" spans="1:5" ht="30" x14ac:dyDescent="0.25">
      <c r="A210" s="18" t="s">
        <v>325</v>
      </c>
      <c r="B210" s="7" t="s">
        <v>297</v>
      </c>
      <c r="C210" s="19"/>
      <c r="D210" s="6"/>
      <c r="E210" s="6"/>
    </row>
    <row r="211" spans="1:5" ht="30" x14ac:dyDescent="0.25">
      <c r="A211" s="18" t="s">
        <v>326</v>
      </c>
      <c r="B211" s="7" t="s">
        <v>298</v>
      </c>
      <c r="C211" s="19"/>
      <c r="D211" s="6"/>
      <c r="E211" s="6"/>
    </row>
    <row r="212" spans="1:5" ht="45" x14ac:dyDescent="0.25">
      <c r="A212" s="18" t="s">
        <v>327</v>
      </c>
      <c r="B212" s="7" t="s">
        <v>299</v>
      </c>
      <c r="C212" s="19"/>
      <c r="D212" s="6"/>
      <c r="E212" s="6"/>
    </row>
    <row r="213" spans="1:5" x14ac:dyDescent="0.25">
      <c r="A213" s="18" t="s">
        <v>328</v>
      </c>
      <c r="B213" s="7" t="s">
        <v>300</v>
      </c>
      <c r="C213" s="19"/>
      <c r="D213" s="6"/>
      <c r="E213" s="6"/>
    </row>
    <row r="214" spans="1:5" ht="30" x14ac:dyDescent="0.25">
      <c r="A214" s="18" t="s">
        <v>329</v>
      </c>
      <c r="B214" s="7" t="s">
        <v>301</v>
      </c>
      <c r="C214" s="19"/>
      <c r="D214" s="6"/>
      <c r="E214" s="6"/>
    </row>
    <row r="215" spans="1:5" ht="30" x14ac:dyDescent="0.25">
      <c r="A215" s="18" t="s">
        <v>330</v>
      </c>
      <c r="B215" s="7" t="s">
        <v>302</v>
      </c>
      <c r="C215" s="19"/>
      <c r="D215" s="6"/>
      <c r="E215" s="6"/>
    </row>
    <row r="216" spans="1:5" ht="30" x14ac:dyDescent="0.25">
      <c r="A216" s="18" t="s">
        <v>331</v>
      </c>
      <c r="B216" s="13" t="s">
        <v>303</v>
      </c>
      <c r="C216" s="19"/>
      <c r="D216" s="6"/>
      <c r="E216" s="6"/>
    </row>
    <row r="217" spans="1:5" ht="30" x14ac:dyDescent="0.25">
      <c r="A217" s="18" t="s">
        <v>332</v>
      </c>
      <c r="B217" s="7" t="s">
        <v>304</v>
      </c>
      <c r="C217" s="19"/>
      <c r="D217" s="6"/>
      <c r="E217" s="6"/>
    </row>
    <row r="218" spans="1:5" x14ac:dyDescent="0.25">
      <c r="A218" s="18" t="s">
        <v>333</v>
      </c>
      <c r="B218" s="7" t="s">
        <v>305</v>
      </c>
      <c r="C218" s="19"/>
      <c r="D218" s="6"/>
      <c r="E218" s="6"/>
    </row>
    <row r="219" spans="1:5" x14ac:dyDescent="0.25">
      <c r="A219" s="18" t="s">
        <v>334</v>
      </c>
      <c r="B219" s="7" t="s">
        <v>306</v>
      </c>
      <c r="C219" s="19"/>
      <c r="D219" s="6"/>
      <c r="E219" s="6"/>
    </row>
    <row r="220" spans="1:5" ht="30" x14ac:dyDescent="0.25">
      <c r="A220" s="18" t="s">
        <v>335</v>
      </c>
      <c r="B220" s="7" t="s">
        <v>307</v>
      </c>
      <c r="C220" s="19"/>
      <c r="D220" s="6"/>
      <c r="E220" s="6"/>
    </row>
    <row r="222" spans="1:5" x14ac:dyDescent="0.25">
      <c r="A222" s="40" t="s">
        <v>336</v>
      </c>
      <c r="B222" s="41"/>
      <c r="C222" s="41"/>
      <c r="D222" s="41"/>
      <c r="E222" s="41"/>
    </row>
    <row r="223" spans="1:5" x14ac:dyDescent="0.25">
      <c r="A223" s="41"/>
      <c r="B223" s="41"/>
      <c r="C223" s="41"/>
      <c r="D223" s="41"/>
      <c r="E223" s="41"/>
    </row>
  </sheetData>
  <mergeCells count="26">
    <mergeCell ref="A1:E1"/>
    <mergeCell ref="A222:E223"/>
    <mergeCell ref="C72:E72"/>
    <mergeCell ref="C60:C71"/>
    <mergeCell ref="A2:B2"/>
    <mergeCell ref="A4:E4"/>
    <mergeCell ref="A3:E3"/>
    <mergeCell ref="A26:E26"/>
    <mergeCell ref="C6:C25"/>
    <mergeCell ref="C28:C49"/>
    <mergeCell ref="A50:E50"/>
    <mergeCell ref="A51:E51"/>
    <mergeCell ref="A73:E73"/>
    <mergeCell ref="C75:C83"/>
    <mergeCell ref="A84:E84"/>
    <mergeCell ref="C86:C98"/>
    <mergeCell ref="A99:E99"/>
    <mergeCell ref="C171:C189"/>
    <mergeCell ref="C139:C168"/>
    <mergeCell ref="A190:E190"/>
    <mergeCell ref="C101:C107"/>
    <mergeCell ref="A108:E108"/>
    <mergeCell ref="C110:C133"/>
    <mergeCell ref="A136:E136"/>
    <mergeCell ref="A137:E137"/>
    <mergeCell ref="A169:E169"/>
  </mergeCells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23"/>
  <sheetViews>
    <sheetView tabSelected="1" topLeftCell="B24" workbookViewId="0">
      <selection activeCell="S30" sqref="S30"/>
    </sheetView>
  </sheetViews>
  <sheetFormatPr defaultRowHeight="15" x14ac:dyDescent="0.25"/>
  <cols>
    <col min="1" max="1" width="5.42578125" customWidth="1"/>
    <col min="2" max="2" width="29.7109375" style="3" customWidth="1"/>
    <col min="3" max="3" width="11.5703125" customWidth="1"/>
    <col min="5" max="5" width="28.28515625" customWidth="1"/>
    <col min="6" max="15" width="8.140625" customWidth="1"/>
  </cols>
  <sheetData>
    <row r="1" spans="1:15" ht="25.5" customHeight="1" x14ac:dyDescent="0.25">
      <c r="A1" s="37" t="s">
        <v>0</v>
      </c>
      <c r="B1" s="37"/>
      <c r="C1" s="37"/>
      <c r="D1" s="37"/>
      <c r="E1" s="37"/>
      <c r="F1" s="44" t="s">
        <v>2</v>
      </c>
      <c r="G1" s="44"/>
      <c r="H1" s="44" t="s">
        <v>95</v>
      </c>
      <c r="I1" s="44"/>
      <c r="J1" s="44"/>
      <c r="K1" s="44"/>
      <c r="L1" s="44"/>
      <c r="M1" s="45" t="s">
        <v>228</v>
      </c>
      <c r="N1" s="45"/>
      <c r="O1" s="45"/>
    </row>
    <row r="2" spans="1:15" ht="16.5" customHeight="1" x14ac:dyDescent="0.25">
      <c r="A2" s="35" t="s">
        <v>1</v>
      </c>
      <c r="B2" s="35"/>
      <c r="C2" s="3"/>
      <c r="D2" s="3"/>
      <c r="E2" s="3"/>
      <c r="F2" s="42" t="s">
        <v>3</v>
      </c>
      <c r="G2" s="42" t="s">
        <v>49</v>
      </c>
      <c r="H2" s="42" t="s">
        <v>163</v>
      </c>
      <c r="I2" s="42" t="s">
        <v>111</v>
      </c>
      <c r="J2" s="42" t="s">
        <v>130</v>
      </c>
      <c r="K2" s="42" t="s">
        <v>164</v>
      </c>
      <c r="L2" s="42" t="s">
        <v>179</v>
      </c>
      <c r="M2" s="42" t="s">
        <v>229</v>
      </c>
      <c r="N2" s="42" t="s">
        <v>258</v>
      </c>
      <c r="O2" s="42" t="s">
        <v>277</v>
      </c>
    </row>
    <row r="3" spans="1:15" x14ac:dyDescent="0.25">
      <c r="A3" s="36" t="s">
        <v>2</v>
      </c>
      <c r="B3" s="36"/>
      <c r="C3" s="36"/>
      <c r="D3" s="36"/>
      <c r="E3" s="36"/>
      <c r="F3" s="42"/>
      <c r="G3" s="42"/>
      <c r="H3" s="42"/>
      <c r="I3" s="42"/>
      <c r="J3" s="42"/>
      <c r="K3" s="42"/>
      <c r="L3" s="42"/>
      <c r="M3" s="42"/>
      <c r="N3" s="42"/>
      <c r="O3" s="42"/>
    </row>
    <row r="4" spans="1:15" x14ac:dyDescent="0.25">
      <c r="A4" s="32" t="s">
        <v>3</v>
      </c>
      <c r="B4" s="32"/>
      <c r="C4" s="32"/>
      <c r="D4" s="32"/>
      <c r="E4" s="32"/>
      <c r="F4" s="42"/>
      <c r="G4" s="42"/>
      <c r="H4" s="42"/>
      <c r="I4" s="42"/>
      <c r="J4" s="42"/>
      <c r="K4" s="42"/>
      <c r="L4" s="42"/>
      <c r="M4" s="42"/>
      <c r="N4" s="42"/>
      <c r="O4" s="42"/>
    </row>
    <row r="5" spans="1:15" ht="15.75" x14ac:dyDescent="0.25">
      <c r="A5" s="9" t="s">
        <v>4</v>
      </c>
      <c r="B5" s="9" t="s">
        <v>5</v>
      </c>
      <c r="C5" s="9" t="s">
        <v>6</v>
      </c>
      <c r="D5" s="9" t="s">
        <v>7</v>
      </c>
      <c r="E5" s="9" t="s">
        <v>8</v>
      </c>
      <c r="F5" s="42"/>
      <c r="G5" s="42"/>
      <c r="H5" s="42"/>
      <c r="I5" s="42"/>
      <c r="J5" s="42"/>
      <c r="K5" s="42"/>
      <c r="L5" s="42"/>
      <c r="M5" s="42"/>
      <c r="N5" s="42"/>
      <c r="O5" s="42"/>
    </row>
    <row r="6" spans="1:15" ht="30" x14ac:dyDescent="0.25">
      <c r="A6" s="5" t="s">
        <v>9</v>
      </c>
      <c r="B6" s="7" t="s">
        <v>29</v>
      </c>
      <c r="C6" s="28" t="s">
        <v>94</v>
      </c>
      <c r="D6" s="6">
        <v>2</v>
      </c>
      <c r="E6" s="6"/>
      <c r="F6" s="3">
        <f>SUM(D6:D25)</f>
        <v>40</v>
      </c>
      <c r="G6" s="3">
        <f>SUM(D28:D49)</f>
        <v>41</v>
      </c>
      <c r="H6" s="3">
        <f>SUM(D53:D71)</f>
        <v>37</v>
      </c>
      <c r="I6" s="3">
        <f>SUM(D75:D83)</f>
        <v>9</v>
      </c>
      <c r="J6" s="3">
        <f>SUM(D86:D98)</f>
        <v>20</v>
      </c>
      <c r="K6" s="3">
        <f>SUM(D101:D107)</f>
        <v>13</v>
      </c>
      <c r="L6" s="3">
        <f>SUM(D110:D133)</f>
        <v>47</v>
      </c>
      <c r="M6" s="3">
        <f>SUM(D139:D168)</f>
        <v>67</v>
      </c>
      <c r="N6" s="3">
        <f>SUM(D171:D189)</f>
        <v>33</v>
      </c>
      <c r="O6" s="3">
        <f>SUM(D192:D220)</f>
        <v>55</v>
      </c>
    </row>
    <row r="7" spans="1:15" ht="30" x14ac:dyDescent="0.25">
      <c r="A7" s="5" t="s">
        <v>10</v>
      </c>
      <c r="B7" s="7" t="s">
        <v>30</v>
      </c>
      <c r="C7" s="29"/>
      <c r="D7" s="6">
        <v>2</v>
      </c>
      <c r="E7" s="6"/>
      <c r="F7" s="43">
        <f>F6/(20*5)</f>
        <v>0.4</v>
      </c>
      <c r="G7" s="43">
        <f>G6/(22*5)</f>
        <v>0.37272727272727274</v>
      </c>
      <c r="H7" s="43">
        <f>H6/(19*5)</f>
        <v>0.38947368421052631</v>
      </c>
      <c r="I7" s="43">
        <f>I6/(9*5)</f>
        <v>0.2</v>
      </c>
      <c r="J7" s="43">
        <f>J6/(12*5)</f>
        <v>0.33333333333333331</v>
      </c>
      <c r="K7" s="43">
        <f>K6/(7*5)</f>
        <v>0.37142857142857144</v>
      </c>
      <c r="L7" s="43">
        <f>L6/(24*5)</f>
        <v>0.39166666666666666</v>
      </c>
      <c r="M7" s="43">
        <f>M6/(30*5)</f>
        <v>0.44666666666666666</v>
      </c>
      <c r="N7" s="43">
        <f>N6/(19*5)</f>
        <v>0.3473684210526316</v>
      </c>
      <c r="O7" s="43">
        <f>O6/(29*5)</f>
        <v>0.37931034482758619</v>
      </c>
    </row>
    <row r="8" spans="1:15" ht="45" x14ac:dyDescent="0.25">
      <c r="A8" s="5" t="s">
        <v>11</v>
      </c>
      <c r="B8" s="7" t="s">
        <v>31</v>
      </c>
      <c r="C8" s="29"/>
      <c r="D8" s="6">
        <v>2</v>
      </c>
      <c r="E8" s="6"/>
    </row>
    <row r="9" spans="1:15" ht="22.5" customHeight="1" x14ac:dyDescent="0.25">
      <c r="A9" s="5" t="s">
        <v>12</v>
      </c>
      <c r="B9" s="7" t="s">
        <v>32</v>
      </c>
      <c r="C9" s="29"/>
      <c r="D9" s="6">
        <v>2</v>
      </c>
      <c r="E9" s="46"/>
      <c r="F9" s="47" t="s">
        <v>339</v>
      </c>
      <c r="G9" s="49" t="s">
        <v>340</v>
      </c>
      <c r="H9" s="49"/>
      <c r="I9" s="52" t="s">
        <v>341</v>
      </c>
      <c r="J9" s="53" t="s">
        <v>338</v>
      </c>
    </row>
    <row r="10" spans="1:15" ht="22.5" customHeight="1" x14ac:dyDescent="0.25">
      <c r="A10" s="5" t="s">
        <v>13</v>
      </c>
      <c r="B10" s="7" t="s">
        <v>33</v>
      </c>
      <c r="C10" s="29"/>
      <c r="D10" s="6">
        <v>2</v>
      </c>
      <c r="E10" s="46"/>
      <c r="F10" s="47">
        <v>1</v>
      </c>
      <c r="G10" s="49" t="s">
        <v>2</v>
      </c>
      <c r="H10" s="50" t="s">
        <v>3</v>
      </c>
      <c r="I10" s="48">
        <v>1</v>
      </c>
      <c r="J10" s="43">
        <f>F6/(20*5)</f>
        <v>0.4</v>
      </c>
    </row>
    <row r="11" spans="1:15" ht="22.5" customHeight="1" x14ac:dyDescent="0.25">
      <c r="A11" s="5" t="s">
        <v>14</v>
      </c>
      <c r="B11" s="7" t="s">
        <v>34</v>
      </c>
      <c r="C11" s="29"/>
      <c r="D11" s="6">
        <v>2</v>
      </c>
      <c r="E11" s="46"/>
      <c r="F11" s="47">
        <v>2</v>
      </c>
      <c r="G11" s="49"/>
      <c r="H11" s="50" t="s">
        <v>49</v>
      </c>
      <c r="I11" s="48">
        <v>1</v>
      </c>
      <c r="J11" s="43">
        <f>G6/(22*5)</f>
        <v>0.37272727272727274</v>
      </c>
    </row>
    <row r="12" spans="1:15" ht="45" x14ac:dyDescent="0.25">
      <c r="A12" s="5" t="s">
        <v>15</v>
      </c>
      <c r="B12" s="7" t="s">
        <v>35</v>
      </c>
      <c r="C12" s="29"/>
      <c r="D12" s="6">
        <v>2</v>
      </c>
      <c r="E12" s="46"/>
      <c r="F12" s="47">
        <v>3</v>
      </c>
      <c r="G12" s="49" t="s">
        <v>95</v>
      </c>
      <c r="H12" s="50" t="s">
        <v>163</v>
      </c>
      <c r="I12" s="48">
        <v>1</v>
      </c>
      <c r="J12" s="43">
        <f>H6/(19*5)</f>
        <v>0.38947368421052631</v>
      </c>
    </row>
    <row r="13" spans="1:15" ht="33.75" x14ac:dyDescent="0.25">
      <c r="A13" s="5" t="s">
        <v>16</v>
      </c>
      <c r="B13" s="7" t="s">
        <v>36</v>
      </c>
      <c r="C13" s="29"/>
      <c r="D13" s="6">
        <v>2</v>
      </c>
      <c r="E13" s="46"/>
      <c r="F13" s="47">
        <v>4</v>
      </c>
      <c r="G13" s="49"/>
      <c r="H13" s="50" t="s">
        <v>111</v>
      </c>
      <c r="I13" s="48">
        <v>1</v>
      </c>
      <c r="J13" s="43">
        <f>I6/(9*5)</f>
        <v>0.2</v>
      </c>
    </row>
    <row r="14" spans="1:15" ht="23.25" customHeight="1" x14ac:dyDescent="0.25">
      <c r="A14" s="5" t="s">
        <v>17</v>
      </c>
      <c r="B14" s="7" t="s">
        <v>37</v>
      </c>
      <c r="C14" s="29"/>
      <c r="D14" s="6">
        <v>2</v>
      </c>
      <c r="E14" s="46"/>
      <c r="F14" s="47">
        <v>5</v>
      </c>
      <c r="G14" s="49"/>
      <c r="H14" s="50" t="s">
        <v>130</v>
      </c>
      <c r="I14" s="48">
        <v>1</v>
      </c>
      <c r="J14" s="43">
        <f>J6/(12*5)</f>
        <v>0.33333333333333331</v>
      </c>
    </row>
    <row r="15" spans="1:15" ht="30" x14ac:dyDescent="0.25">
      <c r="A15" s="5" t="s">
        <v>18</v>
      </c>
      <c r="B15" s="7" t="s">
        <v>38</v>
      </c>
      <c r="C15" s="29"/>
      <c r="D15" s="6">
        <v>2</v>
      </c>
      <c r="E15" s="46"/>
      <c r="F15" s="47">
        <v>6</v>
      </c>
      <c r="G15" s="49"/>
      <c r="H15" s="50" t="s">
        <v>164</v>
      </c>
      <c r="I15" s="48">
        <v>1</v>
      </c>
      <c r="J15" s="43">
        <f>K6/(7*5)</f>
        <v>0.37142857142857144</v>
      </c>
    </row>
    <row r="16" spans="1:15" ht="26.25" customHeight="1" x14ac:dyDescent="0.25">
      <c r="A16" s="5" t="s">
        <v>19</v>
      </c>
      <c r="B16" s="7" t="s">
        <v>39</v>
      </c>
      <c r="C16" s="29"/>
      <c r="D16" s="6">
        <v>2</v>
      </c>
      <c r="E16" s="46"/>
      <c r="F16" s="47">
        <v>7</v>
      </c>
      <c r="G16" s="49"/>
      <c r="H16" s="50" t="s">
        <v>179</v>
      </c>
      <c r="I16" s="48">
        <v>1</v>
      </c>
      <c r="J16" s="43">
        <f>L6/(24*5)</f>
        <v>0.39166666666666666</v>
      </c>
    </row>
    <row r="17" spans="1:13" ht="33.75" x14ac:dyDescent="0.25">
      <c r="A17" s="5" t="s">
        <v>20</v>
      </c>
      <c r="B17" s="7" t="s">
        <v>40</v>
      </c>
      <c r="C17" s="29"/>
      <c r="D17" s="6">
        <v>2</v>
      </c>
      <c r="E17" s="46"/>
      <c r="F17" s="54">
        <v>8</v>
      </c>
      <c r="G17" s="49" t="s">
        <v>228</v>
      </c>
      <c r="H17" s="51" t="s">
        <v>229</v>
      </c>
      <c r="I17" s="48">
        <v>1</v>
      </c>
      <c r="J17" s="43">
        <f>M6/(30*5)</f>
        <v>0.44666666666666666</v>
      </c>
    </row>
    <row r="18" spans="1:13" ht="33.75" x14ac:dyDescent="0.25">
      <c r="A18" s="5" t="s">
        <v>21</v>
      </c>
      <c r="B18" s="7" t="s">
        <v>41</v>
      </c>
      <c r="C18" s="29"/>
      <c r="D18" s="6">
        <v>2</v>
      </c>
      <c r="E18" s="6"/>
      <c r="F18" s="54">
        <v>9</v>
      </c>
      <c r="G18" s="49"/>
      <c r="H18" s="51" t="s">
        <v>258</v>
      </c>
      <c r="I18" s="48">
        <v>1</v>
      </c>
      <c r="J18" s="43">
        <f>N6/(19*5)</f>
        <v>0.3473684210526316</v>
      </c>
    </row>
    <row r="19" spans="1:13" ht="33.75" x14ac:dyDescent="0.25">
      <c r="A19" s="5" t="s">
        <v>22</v>
      </c>
      <c r="B19" s="7" t="s">
        <v>42</v>
      </c>
      <c r="C19" s="29"/>
      <c r="D19" s="6">
        <v>2</v>
      </c>
      <c r="E19" s="6"/>
      <c r="F19" s="54">
        <v>10</v>
      </c>
      <c r="G19" s="49"/>
      <c r="H19" s="51" t="s">
        <v>277</v>
      </c>
      <c r="I19" s="48">
        <v>1</v>
      </c>
      <c r="J19" s="43">
        <f>O6/(29*5)</f>
        <v>0.37931034482758619</v>
      </c>
    </row>
    <row r="20" spans="1:13" ht="45" x14ac:dyDescent="0.25">
      <c r="A20" s="5" t="s">
        <v>23</v>
      </c>
      <c r="B20" s="7" t="s">
        <v>43</v>
      </c>
      <c r="C20" s="29"/>
      <c r="D20" s="6">
        <v>2</v>
      </c>
      <c r="E20" s="6"/>
    </row>
    <row r="21" spans="1:13" ht="27.75" customHeight="1" x14ac:dyDescent="0.25">
      <c r="A21" s="5" t="s">
        <v>24</v>
      </c>
      <c r="B21" s="7" t="s">
        <v>44</v>
      </c>
      <c r="C21" s="29"/>
      <c r="D21" s="6">
        <v>2</v>
      </c>
      <c r="E21" s="6"/>
    </row>
    <row r="22" spans="1:13" ht="30" x14ac:dyDescent="0.25">
      <c r="A22" s="5" t="s">
        <v>25</v>
      </c>
      <c r="B22" s="7" t="s">
        <v>45</v>
      </c>
      <c r="C22" s="29"/>
      <c r="D22" s="6">
        <v>2</v>
      </c>
      <c r="E22" s="6"/>
      <c r="I22" s="39" t="s">
        <v>342</v>
      </c>
      <c r="J22" s="39"/>
      <c r="K22" s="39"/>
      <c r="L22" s="39"/>
      <c r="M22" s="39"/>
    </row>
    <row r="23" spans="1:13" ht="36" customHeight="1" x14ac:dyDescent="0.25">
      <c r="A23" s="5" t="s">
        <v>26</v>
      </c>
      <c r="B23" s="7" t="s">
        <v>46</v>
      </c>
      <c r="C23" s="29"/>
      <c r="D23" s="6">
        <v>2</v>
      </c>
      <c r="E23" s="6"/>
    </row>
    <row r="24" spans="1:13" ht="30" x14ac:dyDescent="0.25">
      <c r="A24" s="5" t="s">
        <v>27</v>
      </c>
      <c r="B24" s="7" t="s">
        <v>47</v>
      </c>
      <c r="C24" s="29"/>
      <c r="D24" s="6">
        <v>2</v>
      </c>
      <c r="E24" s="6"/>
    </row>
    <row r="25" spans="1:13" ht="26.25" customHeight="1" x14ac:dyDescent="0.25">
      <c r="A25" s="5" t="s">
        <v>28</v>
      </c>
      <c r="B25" s="7" t="s">
        <v>48</v>
      </c>
      <c r="C25" s="30"/>
      <c r="D25" s="6">
        <v>2</v>
      </c>
      <c r="E25" s="6"/>
    </row>
    <row r="26" spans="1:13" x14ac:dyDescent="0.25">
      <c r="A26" s="27" t="s">
        <v>49</v>
      </c>
      <c r="B26" s="27"/>
      <c r="C26" s="27"/>
      <c r="D26" s="27"/>
      <c r="E26" s="27"/>
    </row>
    <row r="27" spans="1:13" s="10" customFormat="1" ht="15.75" x14ac:dyDescent="0.25">
      <c r="A27" s="9" t="s">
        <v>4</v>
      </c>
      <c r="B27" s="9" t="s">
        <v>5</v>
      </c>
      <c r="C27" s="9" t="s">
        <v>6</v>
      </c>
      <c r="D27" s="9" t="s">
        <v>7</v>
      </c>
      <c r="E27" s="9" t="s">
        <v>8</v>
      </c>
    </row>
    <row r="28" spans="1:13" ht="35.25" customHeight="1" x14ac:dyDescent="0.25">
      <c r="A28" s="5" t="s">
        <v>50</v>
      </c>
      <c r="B28" s="7" t="s">
        <v>72</v>
      </c>
      <c r="C28" s="23" t="s">
        <v>94</v>
      </c>
      <c r="D28" s="6">
        <v>2</v>
      </c>
      <c r="E28" s="6"/>
    </row>
    <row r="29" spans="1:13" ht="30.75" customHeight="1" x14ac:dyDescent="0.25">
      <c r="A29" s="5" t="s">
        <v>51</v>
      </c>
      <c r="B29" s="7" t="s">
        <v>73</v>
      </c>
      <c r="C29" s="23"/>
      <c r="D29" s="6">
        <v>1</v>
      </c>
      <c r="E29" s="6"/>
    </row>
    <row r="30" spans="1:13" ht="30.75" customHeight="1" x14ac:dyDescent="0.25">
      <c r="A30" s="5" t="s">
        <v>52</v>
      </c>
      <c r="B30" s="7" t="s">
        <v>74</v>
      </c>
      <c r="C30" s="23"/>
      <c r="D30" s="6">
        <v>2</v>
      </c>
      <c r="E30" s="6"/>
    </row>
    <row r="31" spans="1:13" ht="30.75" customHeight="1" x14ac:dyDescent="0.25">
      <c r="A31" s="5" t="s">
        <v>53</v>
      </c>
      <c r="B31" s="7" t="s">
        <v>75</v>
      </c>
      <c r="C31" s="23"/>
      <c r="D31" s="6">
        <v>3</v>
      </c>
      <c r="E31" s="6"/>
    </row>
    <row r="32" spans="1:13" ht="30.75" customHeight="1" x14ac:dyDescent="0.25">
      <c r="A32" s="5" t="s">
        <v>54</v>
      </c>
      <c r="B32" s="7" t="s">
        <v>76</v>
      </c>
      <c r="C32" s="23"/>
      <c r="D32" s="6">
        <v>2</v>
      </c>
      <c r="E32" s="6"/>
    </row>
    <row r="33" spans="1:5" ht="30.75" customHeight="1" x14ac:dyDescent="0.25">
      <c r="A33" s="5" t="s">
        <v>55</v>
      </c>
      <c r="B33" s="7" t="s">
        <v>77</v>
      </c>
      <c r="C33" s="23"/>
      <c r="D33" s="6">
        <v>2</v>
      </c>
      <c r="E33" s="6"/>
    </row>
    <row r="34" spans="1:5" ht="30.75" customHeight="1" x14ac:dyDescent="0.25">
      <c r="A34" s="5" t="s">
        <v>56</v>
      </c>
      <c r="B34" s="7" t="s">
        <v>78</v>
      </c>
      <c r="C34" s="23"/>
      <c r="D34" s="6">
        <v>1</v>
      </c>
      <c r="E34" s="6"/>
    </row>
    <row r="35" spans="1:5" ht="30.75" customHeight="1" x14ac:dyDescent="0.25">
      <c r="A35" s="5" t="s">
        <v>57</v>
      </c>
      <c r="B35" s="7" t="s">
        <v>79</v>
      </c>
      <c r="C35" s="23"/>
      <c r="D35" s="6">
        <v>1</v>
      </c>
      <c r="E35" s="6"/>
    </row>
    <row r="36" spans="1:5" ht="30.75" customHeight="1" x14ac:dyDescent="0.25">
      <c r="A36" s="5" t="s">
        <v>58</v>
      </c>
      <c r="B36" s="7" t="s">
        <v>80</v>
      </c>
      <c r="C36" s="23"/>
      <c r="D36" s="6">
        <v>2</v>
      </c>
      <c r="E36" s="6"/>
    </row>
    <row r="37" spans="1:5" ht="30.75" customHeight="1" x14ac:dyDescent="0.25">
      <c r="A37" s="5" t="s">
        <v>59</v>
      </c>
      <c r="B37" s="7" t="s">
        <v>81</v>
      </c>
      <c r="C37" s="23"/>
      <c r="D37" s="6">
        <v>1</v>
      </c>
      <c r="E37" s="6"/>
    </row>
    <row r="38" spans="1:5" ht="30.75" customHeight="1" x14ac:dyDescent="0.25">
      <c r="A38" s="5" t="s">
        <v>60</v>
      </c>
      <c r="B38" s="7" t="s">
        <v>82</v>
      </c>
      <c r="C38" s="23"/>
      <c r="D38" s="6">
        <v>1</v>
      </c>
      <c r="E38" s="6"/>
    </row>
    <row r="39" spans="1:5" ht="30.75" customHeight="1" x14ac:dyDescent="0.25">
      <c r="A39" s="5" t="s">
        <v>61</v>
      </c>
      <c r="B39" s="7" t="s">
        <v>83</v>
      </c>
      <c r="C39" s="23"/>
      <c r="D39" s="6">
        <v>1</v>
      </c>
      <c r="E39" s="6"/>
    </row>
    <row r="40" spans="1:5" ht="30.75" customHeight="1" x14ac:dyDescent="0.25">
      <c r="A40" s="5" t="s">
        <v>62</v>
      </c>
      <c r="B40" s="7" t="s">
        <v>84</v>
      </c>
      <c r="C40" s="23"/>
      <c r="D40" s="6">
        <v>1</v>
      </c>
      <c r="E40" s="6"/>
    </row>
    <row r="41" spans="1:5" ht="30.75" customHeight="1" x14ac:dyDescent="0.25">
      <c r="A41" s="5" t="s">
        <v>63</v>
      </c>
      <c r="B41" s="7" t="s">
        <v>85</v>
      </c>
      <c r="C41" s="23"/>
      <c r="D41" s="6">
        <v>3</v>
      </c>
      <c r="E41" s="6"/>
    </row>
    <row r="42" spans="1:5" ht="30.75" customHeight="1" x14ac:dyDescent="0.25">
      <c r="A42" s="5" t="s">
        <v>64</v>
      </c>
      <c r="B42" s="7" t="s">
        <v>86</v>
      </c>
      <c r="C42" s="23"/>
      <c r="D42" s="6">
        <v>1</v>
      </c>
      <c r="E42" s="6"/>
    </row>
    <row r="43" spans="1:5" ht="30.75" customHeight="1" x14ac:dyDescent="0.25">
      <c r="A43" s="5" t="s">
        <v>65</v>
      </c>
      <c r="B43" s="7" t="s">
        <v>87</v>
      </c>
      <c r="C43" s="23"/>
      <c r="D43" s="6">
        <v>1</v>
      </c>
      <c r="E43" s="6"/>
    </row>
    <row r="44" spans="1:5" ht="30.75" customHeight="1" x14ac:dyDescent="0.25">
      <c r="A44" s="5" t="s">
        <v>66</v>
      </c>
      <c r="B44" s="7" t="s">
        <v>88</v>
      </c>
      <c r="C44" s="23"/>
      <c r="D44" s="6">
        <v>2</v>
      </c>
      <c r="E44" s="6"/>
    </row>
    <row r="45" spans="1:5" ht="30.75" customHeight="1" x14ac:dyDescent="0.25">
      <c r="A45" s="5" t="s">
        <v>67</v>
      </c>
      <c r="B45" s="7" t="s">
        <v>89</v>
      </c>
      <c r="C45" s="23"/>
      <c r="D45" s="6">
        <v>2</v>
      </c>
      <c r="E45" s="6"/>
    </row>
    <row r="46" spans="1:5" ht="30.75" customHeight="1" x14ac:dyDescent="0.25">
      <c r="A46" s="5" t="s">
        <v>68</v>
      </c>
      <c r="B46" s="7" t="s">
        <v>90</v>
      </c>
      <c r="C46" s="23"/>
      <c r="D46" s="6">
        <v>3</v>
      </c>
      <c r="E46" s="6"/>
    </row>
    <row r="47" spans="1:5" ht="30.75" customHeight="1" x14ac:dyDescent="0.25">
      <c r="A47" s="5" t="s">
        <v>69</v>
      </c>
      <c r="B47" s="7" t="s">
        <v>91</v>
      </c>
      <c r="C47" s="23"/>
      <c r="D47" s="6">
        <v>3</v>
      </c>
      <c r="E47" s="6"/>
    </row>
    <row r="48" spans="1:5" ht="30.75" customHeight="1" x14ac:dyDescent="0.25">
      <c r="A48" s="5" t="s">
        <v>70</v>
      </c>
      <c r="B48" s="7" t="s">
        <v>92</v>
      </c>
      <c r="C48" s="23"/>
      <c r="D48" s="6">
        <v>3</v>
      </c>
      <c r="E48" s="6"/>
    </row>
    <row r="49" spans="1:10" ht="30.75" customHeight="1" x14ac:dyDescent="0.25">
      <c r="A49" s="5" t="s">
        <v>71</v>
      </c>
      <c r="B49" s="7" t="s">
        <v>93</v>
      </c>
      <c r="C49" s="23"/>
      <c r="D49" s="6">
        <v>3</v>
      </c>
      <c r="E49" s="6"/>
    </row>
    <row r="50" spans="1:10" x14ac:dyDescent="0.25">
      <c r="A50" s="31" t="s">
        <v>95</v>
      </c>
      <c r="B50" s="31"/>
      <c r="C50" s="31"/>
      <c r="D50" s="31"/>
      <c r="E50" s="31"/>
      <c r="J50" s="38"/>
    </row>
    <row r="51" spans="1:10" x14ac:dyDescent="0.25">
      <c r="A51" s="32" t="s">
        <v>163</v>
      </c>
      <c r="B51" s="32"/>
      <c r="C51" s="32"/>
      <c r="D51" s="32"/>
      <c r="E51" s="32"/>
    </row>
    <row r="52" spans="1:10" ht="15.75" x14ac:dyDescent="0.25">
      <c r="A52" s="9" t="s">
        <v>4</v>
      </c>
      <c r="B52" s="9" t="s">
        <v>5</v>
      </c>
      <c r="C52" s="9" t="s">
        <v>6</v>
      </c>
      <c r="D52" s="9" t="s">
        <v>7</v>
      </c>
      <c r="E52" s="9" t="s">
        <v>8</v>
      </c>
    </row>
    <row r="53" spans="1:10" ht="49.5" customHeight="1" x14ac:dyDescent="0.25">
      <c r="A53" s="9"/>
      <c r="B53" s="12" t="s">
        <v>96</v>
      </c>
      <c r="C53" s="9"/>
      <c r="D53" s="9">
        <v>2</v>
      </c>
      <c r="E53" s="9"/>
    </row>
    <row r="54" spans="1:10" ht="36" customHeight="1" x14ac:dyDescent="0.25">
      <c r="A54" s="9"/>
      <c r="B54" s="12" t="s">
        <v>157</v>
      </c>
      <c r="C54" s="9"/>
      <c r="D54" s="9">
        <v>2</v>
      </c>
      <c r="E54" s="9"/>
    </row>
    <row r="55" spans="1:10" ht="60" x14ac:dyDescent="0.25">
      <c r="A55" s="9"/>
      <c r="B55" s="12" t="s">
        <v>158</v>
      </c>
      <c r="C55" s="9"/>
      <c r="D55" s="9">
        <v>2</v>
      </c>
      <c r="E55" s="9"/>
    </row>
    <row r="56" spans="1:10" ht="45.75" customHeight="1" x14ac:dyDescent="0.25">
      <c r="A56" s="9"/>
      <c r="B56" s="12" t="s">
        <v>159</v>
      </c>
      <c r="C56" s="9"/>
      <c r="D56" s="9">
        <v>2</v>
      </c>
      <c r="E56" s="9"/>
    </row>
    <row r="57" spans="1:10" ht="52.5" customHeight="1" x14ac:dyDescent="0.25">
      <c r="A57" s="9"/>
      <c r="B57" s="12" t="s">
        <v>160</v>
      </c>
      <c r="C57" s="9"/>
      <c r="D57" s="9">
        <v>2</v>
      </c>
      <c r="E57" s="9"/>
    </row>
    <row r="58" spans="1:10" ht="114" customHeight="1" x14ac:dyDescent="0.25">
      <c r="A58" s="9"/>
      <c r="B58" s="12" t="s">
        <v>161</v>
      </c>
      <c r="C58" s="9"/>
      <c r="D58" s="9">
        <v>2</v>
      </c>
      <c r="E58" s="9"/>
    </row>
    <row r="59" spans="1:10" ht="116.25" customHeight="1" x14ac:dyDescent="0.25">
      <c r="A59" s="9"/>
      <c r="B59" s="12" t="s">
        <v>162</v>
      </c>
      <c r="C59" s="9"/>
      <c r="D59" s="9">
        <v>1</v>
      </c>
      <c r="E59" s="9"/>
    </row>
    <row r="60" spans="1:10" ht="66" customHeight="1" x14ac:dyDescent="0.25">
      <c r="A60" s="6"/>
      <c r="B60" s="7" t="s">
        <v>97</v>
      </c>
      <c r="C60" s="34" t="s">
        <v>110</v>
      </c>
      <c r="D60" s="9">
        <v>1</v>
      </c>
      <c r="E60" s="6"/>
    </row>
    <row r="61" spans="1:10" ht="72.75" customHeight="1" x14ac:dyDescent="0.25">
      <c r="A61" s="6"/>
      <c r="B61" s="7" t="s">
        <v>98</v>
      </c>
      <c r="C61" s="34"/>
      <c r="D61" s="9">
        <v>1</v>
      </c>
      <c r="E61" s="6"/>
    </row>
    <row r="62" spans="1:10" ht="30" x14ac:dyDescent="0.25">
      <c r="A62" s="6"/>
      <c r="B62" s="7" t="s">
        <v>99</v>
      </c>
      <c r="C62" s="34"/>
      <c r="D62" s="9">
        <v>1</v>
      </c>
      <c r="E62" s="6"/>
    </row>
    <row r="63" spans="1:10" ht="120" x14ac:dyDescent="0.25">
      <c r="A63" s="6"/>
      <c r="B63" s="7" t="s">
        <v>100</v>
      </c>
      <c r="C63" s="34"/>
      <c r="D63" s="9">
        <v>1</v>
      </c>
      <c r="E63" s="6"/>
    </row>
    <row r="64" spans="1:10" ht="30" x14ac:dyDescent="0.25">
      <c r="A64" s="6"/>
      <c r="B64" s="7" t="s">
        <v>101</v>
      </c>
      <c r="C64" s="34"/>
      <c r="D64" s="6">
        <v>3</v>
      </c>
      <c r="E64" s="6"/>
    </row>
    <row r="65" spans="1:5" ht="45" x14ac:dyDescent="0.25">
      <c r="A65" s="6"/>
      <c r="B65" s="7" t="s">
        <v>102</v>
      </c>
      <c r="C65" s="34"/>
      <c r="D65" s="6">
        <v>3</v>
      </c>
      <c r="E65" s="6"/>
    </row>
    <row r="66" spans="1:5" ht="21.75" customHeight="1" x14ac:dyDescent="0.25">
      <c r="A66" s="6"/>
      <c r="B66" s="7" t="s">
        <v>103</v>
      </c>
      <c r="C66" s="34"/>
      <c r="D66" s="6">
        <v>3</v>
      </c>
      <c r="E66" s="6"/>
    </row>
    <row r="67" spans="1:5" ht="54" customHeight="1" x14ac:dyDescent="0.25">
      <c r="A67" s="6"/>
      <c r="B67" s="7" t="s">
        <v>104</v>
      </c>
      <c r="C67" s="34"/>
      <c r="D67" s="6">
        <v>3</v>
      </c>
      <c r="E67" s="6"/>
    </row>
    <row r="68" spans="1:5" ht="37.5" customHeight="1" x14ac:dyDescent="0.25">
      <c r="A68" s="6"/>
      <c r="B68" s="7" t="s">
        <v>105</v>
      </c>
      <c r="C68" s="34"/>
      <c r="D68" s="6">
        <v>3</v>
      </c>
      <c r="E68" s="6"/>
    </row>
    <row r="69" spans="1:5" ht="75" x14ac:dyDescent="0.25">
      <c r="A69" s="6"/>
      <c r="B69" s="7" t="s">
        <v>106</v>
      </c>
      <c r="C69" s="34"/>
      <c r="D69" s="6">
        <v>3</v>
      </c>
      <c r="E69" s="6"/>
    </row>
    <row r="70" spans="1:5" ht="70.5" customHeight="1" x14ac:dyDescent="0.25">
      <c r="A70" s="6"/>
      <c r="B70" s="7" t="s">
        <v>107</v>
      </c>
      <c r="C70" s="34"/>
      <c r="D70" s="6">
        <v>1</v>
      </c>
      <c r="E70" s="6"/>
    </row>
    <row r="71" spans="1:5" ht="60" x14ac:dyDescent="0.25">
      <c r="A71" s="6"/>
      <c r="B71" s="7" t="s">
        <v>108</v>
      </c>
      <c r="C71" s="34"/>
      <c r="D71" s="6">
        <v>1</v>
      </c>
      <c r="E71" s="6"/>
    </row>
    <row r="72" spans="1:5" ht="189.75" customHeight="1" x14ac:dyDescent="0.25">
      <c r="A72" s="6"/>
      <c r="B72" s="13" t="s">
        <v>109</v>
      </c>
      <c r="C72" s="33"/>
      <c r="D72" s="33"/>
      <c r="E72" s="33"/>
    </row>
    <row r="73" spans="1:5" x14ac:dyDescent="0.25">
      <c r="A73" s="26" t="s">
        <v>111</v>
      </c>
      <c r="B73" s="26"/>
      <c r="C73" s="26"/>
      <c r="D73" s="26"/>
      <c r="E73" s="26"/>
    </row>
    <row r="74" spans="1:5" ht="15.75" x14ac:dyDescent="0.25">
      <c r="A74" s="14" t="s">
        <v>4</v>
      </c>
      <c r="B74" s="14" t="s">
        <v>5</v>
      </c>
      <c r="C74" s="14" t="s">
        <v>6</v>
      </c>
      <c r="D74" s="14" t="s">
        <v>7</v>
      </c>
      <c r="E74" s="14" t="s">
        <v>8</v>
      </c>
    </row>
    <row r="75" spans="1:5" ht="21" customHeight="1" x14ac:dyDescent="0.25">
      <c r="A75" s="5" t="s">
        <v>112</v>
      </c>
      <c r="B75" s="5" t="s">
        <v>120</v>
      </c>
      <c r="C75" s="23" t="s">
        <v>94</v>
      </c>
      <c r="D75" s="6">
        <v>1</v>
      </c>
      <c r="E75" s="6"/>
    </row>
    <row r="76" spans="1:5" ht="21" customHeight="1" x14ac:dyDescent="0.25">
      <c r="A76" s="5" t="s">
        <v>113</v>
      </c>
      <c r="B76" s="5" t="s">
        <v>121</v>
      </c>
      <c r="C76" s="23"/>
      <c r="D76" s="6">
        <v>1</v>
      </c>
      <c r="E76" s="6"/>
    </row>
    <row r="77" spans="1:5" ht="21" customHeight="1" x14ac:dyDescent="0.25">
      <c r="A77" s="5" t="s">
        <v>114</v>
      </c>
      <c r="B77" s="5" t="s">
        <v>122</v>
      </c>
      <c r="C77" s="23"/>
      <c r="D77" s="6">
        <v>1</v>
      </c>
      <c r="E77" s="6"/>
    </row>
    <row r="78" spans="1:5" ht="21" customHeight="1" x14ac:dyDescent="0.25">
      <c r="A78" s="5" t="s">
        <v>115</v>
      </c>
      <c r="B78" s="5" t="s">
        <v>123</v>
      </c>
      <c r="C78" s="23"/>
      <c r="D78" s="6">
        <v>1</v>
      </c>
      <c r="E78" s="6"/>
    </row>
    <row r="79" spans="1:5" ht="21" customHeight="1" x14ac:dyDescent="0.25">
      <c r="A79" s="5" t="s">
        <v>116</v>
      </c>
      <c r="B79" s="5" t="s">
        <v>124</v>
      </c>
      <c r="C79" s="23"/>
      <c r="D79" s="6">
        <v>1</v>
      </c>
      <c r="E79" s="6"/>
    </row>
    <row r="80" spans="1:5" ht="21" customHeight="1" x14ac:dyDescent="0.25">
      <c r="A80" s="5" t="s">
        <v>117</v>
      </c>
      <c r="B80" s="5" t="s">
        <v>125</v>
      </c>
      <c r="C80" s="23"/>
      <c r="D80" s="6">
        <v>1</v>
      </c>
      <c r="E80" s="6"/>
    </row>
    <row r="81" spans="1:5" ht="21" customHeight="1" x14ac:dyDescent="0.25">
      <c r="A81" s="5" t="s">
        <v>118</v>
      </c>
      <c r="B81" s="5" t="s">
        <v>126</v>
      </c>
      <c r="C81" s="23"/>
      <c r="D81" s="6">
        <v>1</v>
      </c>
      <c r="E81" s="6"/>
    </row>
    <row r="82" spans="1:5" ht="21" customHeight="1" x14ac:dyDescent="0.25">
      <c r="A82" s="5" t="s">
        <v>119</v>
      </c>
      <c r="B82" s="5" t="s">
        <v>127</v>
      </c>
      <c r="C82" s="23"/>
      <c r="D82" s="6">
        <v>1</v>
      </c>
      <c r="E82" s="6"/>
    </row>
    <row r="83" spans="1:5" ht="21" customHeight="1" x14ac:dyDescent="0.25">
      <c r="A83" s="5" t="s">
        <v>128</v>
      </c>
      <c r="B83" s="15" t="s">
        <v>129</v>
      </c>
      <c r="C83" s="23"/>
      <c r="D83" s="6">
        <v>1</v>
      </c>
      <c r="E83" s="6"/>
    </row>
    <row r="84" spans="1:5" ht="15" customHeight="1" x14ac:dyDescent="0.25">
      <c r="A84" s="27" t="s">
        <v>130</v>
      </c>
      <c r="B84" s="27"/>
      <c r="C84" s="27"/>
      <c r="D84" s="27"/>
      <c r="E84" s="27"/>
    </row>
    <row r="85" spans="1:5" ht="15.75" x14ac:dyDescent="0.25">
      <c r="A85" s="9" t="s">
        <v>4</v>
      </c>
      <c r="B85" s="9" t="s">
        <v>5</v>
      </c>
      <c r="C85" s="9" t="s">
        <v>6</v>
      </c>
      <c r="D85" s="9" t="s">
        <v>7</v>
      </c>
      <c r="E85" s="9" t="s">
        <v>8</v>
      </c>
    </row>
    <row r="86" spans="1:5" ht="18.75" customHeight="1" x14ac:dyDescent="0.25">
      <c r="A86" s="8" t="s">
        <v>131</v>
      </c>
      <c r="B86" s="5" t="s">
        <v>144</v>
      </c>
      <c r="C86" s="23" t="s">
        <v>94</v>
      </c>
      <c r="D86" s="6">
        <v>2</v>
      </c>
      <c r="E86" s="6"/>
    </row>
    <row r="87" spans="1:5" ht="18.75" customHeight="1" x14ac:dyDescent="0.25">
      <c r="A87" s="8" t="s">
        <v>132</v>
      </c>
      <c r="B87" s="5" t="s">
        <v>145</v>
      </c>
      <c r="C87" s="23"/>
      <c r="D87" s="6">
        <v>1</v>
      </c>
      <c r="E87" s="6"/>
    </row>
    <row r="88" spans="1:5" ht="18.75" customHeight="1" x14ac:dyDescent="0.25">
      <c r="A88" s="8" t="s">
        <v>133</v>
      </c>
      <c r="B88" s="5" t="s">
        <v>146</v>
      </c>
      <c r="C88" s="23"/>
      <c r="D88" s="6">
        <v>2</v>
      </c>
      <c r="E88" s="6"/>
    </row>
    <row r="89" spans="1:5" ht="18.75" customHeight="1" x14ac:dyDescent="0.25">
      <c r="A89" s="8" t="s">
        <v>134</v>
      </c>
      <c r="B89" s="5" t="s">
        <v>147</v>
      </c>
      <c r="C89" s="23"/>
      <c r="D89" s="6">
        <v>1</v>
      </c>
      <c r="E89" s="6"/>
    </row>
    <row r="90" spans="1:5" ht="18.75" customHeight="1" x14ac:dyDescent="0.25">
      <c r="A90" s="8" t="s">
        <v>135</v>
      </c>
      <c r="B90" s="5" t="s">
        <v>148</v>
      </c>
      <c r="C90" s="23"/>
      <c r="D90" s="6">
        <v>2</v>
      </c>
      <c r="E90" s="6"/>
    </row>
    <row r="91" spans="1:5" ht="18.75" customHeight="1" x14ac:dyDescent="0.25">
      <c r="A91" s="8" t="s">
        <v>136</v>
      </c>
      <c r="B91" s="5" t="s">
        <v>149</v>
      </c>
      <c r="C91" s="23"/>
      <c r="D91" s="6">
        <v>1</v>
      </c>
      <c r="E91" s="6"/>
    </row>
    <row r="92" spans="1:5" ht="18.75" customHeight="1" x14ac:dyDescent="0.25">
      <c r="A92" s="8" t="s">
        <v>137</v>
      </c>
      <c r="B92" s="5" t="s">
        <v>150</v>
      </c>
      <c r="C92" s="23"/>
      <c r="D92" s="6">
        <v>2</v>
      </c>
      <c r="E92" s="6"/>
    </row>
    <row r="93" spans="1:5" ht="18.75" customHeight="1" x14ac:dyDescent="0.25">
      <c r="A93" s="8" t="s">
        <v>138</v>
      </c>
      <c r="B93" s="5" t="s">
        <v>151</v>
      </c>
      <c r="C93" s="23"/>
      <c r="D93" s="6">
        <v>1</v>
      </c>
      <c r="E93" s="6"/>
    </row>
    <row r="94" spans="1:5" ht="18.75" customHeight="1" x14ac:dyDescent="0.25">
      <c r="A94" s="8" t="s">
        <v>139</v>
      </c>
      <c r="B94" s="5" t="s">
        <v>152</v>
      </c>
      <c r="C94" s="23"/>
      <c r="D94" s="6">
        <v>2</v>
      </c>
      <c r="E94" s="6"/>
    </row>
    <row r="95" spans="1:5" ht="18.75" customHeight="1" x14ac:dyDescent="0.25">
      <c r="A95" s="8" t="s">
        <v>140</v>
      </c>
      <c r="B95" s="5" t="s">
        <v>153</v>
      </c>
      <c r="C95" s="23"/>
      <c r="D95" s="6">
        <v>1</v>
      </c>
      <c r="E95" s="6"/>
    </row>
    <row r="96" spans="1:5" ht="18.75" customHeight="1" x14ac:dyDescent="0.25">
      <c r="A96" s="8" t="s">
        <v>141</v>
      </c>
      <c r="B96" s="5" t="s">
        <v>154</v>
      </c>
      <c r="C96" s="23"/>
      <c r="D96" s="6">
        <v>2</v>
      </c>
      <c r="E96" s="6"/>
    </row>
    <row r="97" spans="1:5" ht="18.75" customHeight="1" x14ac:dyDescent="0.25">
      <c r="A97" s="8" t="s">
        <v>142</v>
      </c>
      <c r="B97" s="5" t="s">
        <v>155</v>
      </c>
      <c r="C97" s="23"/>
      <c r="D97" s="6">
        <v>1</v>
      </c>
      <c r="E97" s="6"/>
    </row>
    <row r="98" spans="1:5" ht="18.75" customHeight="1" x14ac:dyDescent="0.25">
      <c r="A98" s="8" t="s">
        <v>143</v>
      </c>
      <c r="B98" s="5" t="s">
        <v>156</v>
      </c>
      <c r="C98" s="23"/>
      <c r="D98" s="6">
        <v>2</v>
      </c>
      <c r="E98" s="6"/>
    </row>
    <row r="99" spans="1:5" x14ac:dyDescent="0.25">
      <c r="A99" s="27" t="s">
        <v>164</v>
      </c>
      <c r="B99" s="27"/>
      <c r="C99" s="27"/>
      <c r="D99" s="27"/>
      <c r="E99" s="27"/>
    </row>
    <row r="100" spans="1:5" ht="15.75" x14ac:dyDescent="0.25">
      <c r="A100" s="14" t="s">
        <v>4</v>
      </c>
      <c r="B100" s="14" t="s">
        <v>5</v>
      </c>
      <c r="C100" s="14" t="s">
        <v>6</v>
      </c>
      <c r="D100" s="14" t="s">
        <v>7</v>
      </c>
      <c r="E100" s="14" t="s">
        <v>8</v>
      </c>
    </row>
    <row r="101" spans="1:5" ht="24" customHeight="1" x14ac:dyDescent="0.25">
      <c r="A101" s="5" t="s">
        <v>165</v>
      </c>
      <c r="B101" s="5" t="s">
        <v>172</v>
      </c>
      <c r="C101" s="23" t="s">
        <v>94</v>
      </c>
      <c r="D101" s="6">
        <v>1</v>
      </c>
      <c r="E101" s="6"/>
    </row>
    <row r="102" spans="1:5" ht="24" customHeight="1" x14ac:dyDescent="0.25">
      <c r="A102" s="5" t="s">
        <v>166</v>
      </c>
      <c r="B102" s="5" t="s">
        <v>173</v>
      </c>
      <c r="C102" s="23"/>
      <c r="D102" s="6">
        <v>2</v>
      </c>
      <c r="E102" s="6"/>
    </row>
    <row r="103" spans="1:5" ht="24" customHeight="1" x14ac:dyDescent="0.25">
      <c r="A103" s="5" t="s">
        <v>167</v>
      </c>
      <c r="B103" s="5" t="s">
        <v>174</v>
      </c>
      <c r="C103" s="23"/>
      <c r="D103" s="6">
        <v>3</v>
      </c>
      <c r="E103" s="6"/>
    </row>
    <row r="104" spans="1:5" ht="24" customHeight="1" x14ac:dyDescent="0.25">
      <c r="A104" s="5" t="s">
        <v>168</v>
      </c>
      <c r="B104" s="5" t="s">
        <v>175</v>
      </c>
      <c r="C104" s="23"/>
      <c r="D104" s="6">
        <v>2</v>
      </c>
      <c r="E104" s="6"/>
    </row>
    <row r="105" spans="1:5" ht="24" customHeight="1" x14ac:dyDescent="0.25">
      <c r="A105" s="5" t="s">
        <v>169</v>
      </c>
      <c r="B105" s="5" t="s">
        <v>176</v>
      </c>
      <c r="C105" s="23"/>
      <c r="D105" s="6">
        <v>1</v>
      </c>
      <c r="E105" s="6"/>
    </row>
    <row r="106" spans="1:5" ht="24" customHeight="1" x14ac:dyDescent="0.25">
      <c r="A106" s="5" t="s">
        <v>170</v>
      </c>
      <c r="B106" s="5" t="s">
        <v>177</v>
      </c>
      <c r="C106" s="23"/>
      <c r="D106" s="6">
        <v>3</v>
      </c>
      <c r="E106" s="6"/>
    </row>
    <row r="107" spans="1:5" ht="32.25" customHeight="1" x14ac:dyDescent="0.25">
      <c r="A107" s="5" t="s">
        <v>171</v>
      </c>
      <c r="B107" s="5" t="s">
        <v>178</v>
      </c>
      <c r="C107" s="23"/>
      <c r="D107" s="6">
        <v>1</v>
      </c>
      <c r="E107" s="6"/>
    </row>
    <row r="108" spans="1:5" x14ac:dyDescent="0.25">
      <c r="A108" s="27" t="s">
        <v>179</v>
      </c>
      <c r="B108" s="27"/>
      <c r="C108" s="27"/>
      <c r="D108" s="27"/>
      <c r="E108" s="27"/>
    </row>
    <row r="109" spans="1:5" ht="15.75" x14ac:dyDescent="0.25">
      <c r="A109" s="14" t="s">
        <v>4</v>
      </c>
      <c r="B109" s="14" t="s">
        <v>5</v>
      </c>
      <c r="C109" s="14" t="s">
        <v>6</v>
      </c>
      <c r="D109" s="14" t="s">
        <v>7</v>
      </c>
      <c r="E109" s="14" t="s">
        <v>8</v>
      </c>
    </row>
    <row r="110" spans="1:5" ht="26.25" customHeight="1" x14ac:dyDescent="0.25">
      <c r="A110" s="15" t="s">
        <v>204</v>
      </c>
      <c r="B110" s="5" t="s">
        <v>180</v>
      </c>
      <c r="C110" s="23" t="s">
        <v>94</v>
      </c>
      <c r="D110" s="6">
        <v>1</v>
      </c>
      <c r="E110" s="6"/>
    </row>
    <row r="111" spans="1:5" ht="31.5" customHeight="1" x14ac:dyDescent="0.25">
      <c r="A111" s="15" t="s">
        <v>205</v>
      </c>
      <c r="B111" s="5" t="s">
        <v>181</v>
      </c>
      <c r="C111" s="23"/>
      <c r="D111" s="6">
        <v>2</v>
      </c>
      <c r="E111" s="6"/>
    </row>
    <row r="112" spans="1:5" ht="26.25" customHeight="1" x14ac:dyDescent="0.25">
      <c r="A112" s="15" t="s">
        <v>206</v>
      </c>
      <c r="B112" s="5" t="s">
        <v>182</v>
      </c>
      <c r="C112" s="23"/>
      <c r="D112" s="6">
        <v>3</v>
      </c>
      <c r="E112" s="6"/>
    </row>
    <row r="113" spans="1:5" ht="31.5" customHeight="1" x14ac:dyDescent="0.25">
      <c r="A113" s="15" t="s">
        <v>207</v>
      </c>
      <c r="B113" s="5" t="s">
        <v>183</v>
      </c>
      <c r="C113" s="23"/>
      <c r="D113" s="6">
        <v>2</v>
      </c>
      <c r="E113" s="6"/>
    </row>
    <row r="114" spans="1:5" ht="26.25" customHeight="1" x14ac:dyDescent="0.25">
      <c r="A114" s="15" t="s">
        <v>208</v>
      </c>
      <c r="B114" s="5" t="s">
        <v>184</v>
      </c>
      <c r="C114" s="23"/>
      <c r="D114" s="6">
        <v>2</v>
      </c>
      <c r="E114" s="6"/>
    </row>
    <row r="115" spans="1:5" ht="26.25" customHeight="1" x14ac:dyDescent="0.25">
      <c r="A115" s="15" t="s">
        <v>209</v>
      </c>
      <c r="B115" s="5" t="s">
        <v>185</v>
      </c>
      <c r="C115" s="23"/>
      <c r="D115" s="6">
        <v>1</v>
      </c>
      <c r="E115" s="6"/>
    </row>
    <row r="116" spans="1:5" ht="26.25" customHeight="1" x14ac:dyDescent="0.25">
      <c r="A116" s="15" t="s">
        <v>210</v>
      </c>
      <c r="B116" s="5" t="s">
        <v>186</v>
      </c>
      <c r="C116" s="23"/>
      <c r="D116" s="6">
        <v>2</v>
      </c>
      <c r="E116" s="6"/>
    </row>
    <row r="117" spans="1:5" ht="26.25" customHeight="1" x14ac:dyDescent="0.25">
      <c r="A117" s="15" t="s">
        <v>211</v>
      </c>
      <c r="B117" s="5" t="s">
        <v>187</v>
      </c>
      <c r="C117" s="23"/>
      <c r="D117" s="6">
        <v>1</v>
      </c>
      <c r="E117" s="6"/>
    </row>
    <row r="118" spans="1:5" ht="26.25" customHeight="1" x14ac:dyDescent="0.25">
      <c r="A118" s="15" t="s">
        <v>212</v>
      </c>
      <c r="B118" s="5" t="s">
        <v>188</v>
      </c>
      <c r="C118" s="23"/>
      <c r="D118" s="6">
        <v>2</v>
      </c>
      <c r="E118" s="6"/>
    </row>
    <row r="119" spans="1:5" ht="26.25" customHeight="1" x14ac:dyDescent="0.25">
      <c r="A119" s="15" t="s">
        <v>213</v>
      </c>
      <c r="B119" s="5" t="s">
        <v>189</v>
      </c>
      <c r="C119" s="23"/>
      <c r="D119" s="6">
        <v>3</v>
      </c>
      <c r="E119" s="6"/>
    </row>
    <row r="120" spans="1:5" ht="26.25" customHeight="1" x14ac:dyDescent="0.25">
      <c r="A120" s="15" t="s">
        <v>214</v>
      </c>
      <c r="B120" s="5" t="s">
        <v>190</v>
      </c>
      <c r="C120" s="23"/>
      <c r="D120" s="6">
        <v>1</v>
      </c>
      <c r="E120" s="6"/>
    </row>
    <row r="121" spans="1:5" ht="30" customHeight="1" x14ac:dyDescent="0.25">
      <c r="A121" s="15" t="s">
        <v>215</v>
      </c>
      <c r="B121" s="5" t="s">
        <v>191</v>
      </c>
      <c r="C121" s="23"/>
      <c r="D121" s="6">
        <v>2</v>
      </c>
      <c r="E121" s="6"/>
    </row>
    <row r="122" spans="1:5" ht="31.5" customHeight="1" x14ac:dyDescent="0.25">
      <c r="A122" s="15" t="s">
        <v>216</v>
      </c>
      <c r="B122" s="5" t="s">
        <v>192</v>
      </c>
      <c r="C122" s="23"/>
      <c r="D122" s="6">
        <v>3</v>
      </c>
      <c r="E122" s="6"/>
    </row>
    <row r="123" spans="1:5" ht="26.25" customHeight="1" x14ac:dyDescent="0.25">
      <c r="A123" s="15" t="s">
        <v>217</v>
      </c>
      <c r="B123" s="5" t="s">
        <v>193</v>
      </c>
      <c r="C123" s="23"/>
      <c r="D123" s="6">
        <v>2</v>
      </c>
      <c r="E123" s="6"/>
    </row>
    <row r="124" spans="1:5" ht="26.25" customHeight="1" x14ac:dyDescent="0.25">
      <c r="A124" s="15" t="s">
        <v>218</v>
      </c>
      <c r="B124" s="5" t="s">
        <v>194</v>
      </c>
      <c r="C124" s="23"/>
      <c r="D124" s="6">
        <v>1</v>
      </c>
      <c r="E124" s="6"/>
    </row>
    <row r="125" spans="1:5" ht="26.25" customHeight="1" x14ac:dyDescent="0.25">
      <c r="A125" s="15" t="s">
        <v>219</v>
      </c>
      <c r="B125" s="5" t="s">
        <v>195</v>
      </c>
      <c r="C125" s="23"/>
      <c r="D125" s="6">
        <v>2</v>
      </c>
      <c r="E125" s="6"/>
    </row>
    <row r="126" spans="1:5" ht="26.25" customHeight="1" x14ac:dyDescent="0.25">
      <c r="A126" s="15" t="s">
        <v>220</v>
      </c>
      <c r="B126" s="5" t="s">
        <v>196</v>
      </c>
      <c r="C126" s="23"/>
      <c r="D126" s="6">
        <v>3</v>
      </c>
      <c r="E126" s="6"/>
    </row>
    <row r="127" spans="1:5" ht="26.25" customHeight="1" x14ac:dyDescent="0.25">
      <c r="A127" s="15" t="s">
        <v>221</v>
      </c>
      <c r="B127" s="5" t="s">
        <v>197</v>
      </c>
      <c r="C127" s="23"/>
      <c r="D127" s="6">
        <v>2</v>
      </c>
      <c r="E127" s="6"/>
    </row>
    <row r="128" spans="1:5" ht="26.25" customHeight="1" x14ac:dyDescent="0.25">
      <c r="A128" s="15" t="s">
        <v>222</v>
      </c>
      <c r="B128" s="5" t="s">
        <v>198</v>
      </c>
      <c r="C128" s="23"/>
      <c r="D128" s="6">
        <v>2</v>
      </c>
      <c r="E128" s="6"/>
    </row>
    <row r="129" spans="1:5" ht="26.25" customHeight="1" x14ac:dyDescent="0.25">
      <c r="A129" s="15" t="s">
        <v>223</v>
      </c>
      <c r="B129" s="5" t="s">
        <v>199</v>
      </c>
      <c r="C129" s="23"/>
      <c r="D129" s="6">
        <v>2</v>
      </c>
      <c r="E129" s="6"/>
    </row>
    <row r="130" spans="1:5" ht="26.25" customHeight="1" x14ac:dyDescent="0.25">
      <c r="A130" s="15" t="s">
        <v>224</v>
      </c>
      <c r="B130" s="5" t="s">
        <v>200</v>
      </c>
      <c r="C130" s="23"/>
      <c r="D130" s="6">
        <v>2</v>
      </c>
      <c r="E130" s="6"/>
    </row>
    <row r="131" spans="1:5" ht="26.25" customHeight="1" x14ac:dyDescent="0.25">
      <c r="A131" s="15" t="s">
        <v>225</v>
      </c>
      <c r="B131" s="5" t="s">
        <v>201</v>
      </c>
      <c r="C131" s="23"/>
      <c r="D131" s="6">
        <v>2</v>
      </c>
      <c r="E131" s="6"/>
    </row>
    <row r="132" spans="1:5" ht="26.25" customHeight="1" x14ac:dyDescent="0.25">
      <c r="A132" s="15" t="s">
        <v>226</v>
      </c>
      <c r="B132" s="5" t="s">
        <v>202</v>
      </c>
      <c r="C132" s="23"/>
      <c r="D132" s="6">
        <v>2</v>
      </c>
      <c r="E132" s="6"/>
    </row>
    <row r="133" spans="1:5" ht="26.25" customHeight="1" x14ac:dyDescent="0.25">
      <c r="A133" s="15" t="s">
        <v>227</v>
      </c>
      <c r="B133" s="5" t="s">
        <v>203</v>
      </c>
      <c r="C133" s="23"/>
      <c r="D133" s="6">
        <v>2</v>
      </c>
      <c r="E133" s="6"/>
    </row>
    <row r="136" spans="1:5" x14ac:dyDescent="0.25">
      <c r="A136" s="24" t="s">
        <v>228</v>
      </c>
      <c r="B136" s="24"/>
      <c r="C136" s="24"/>
      <c r="D136" s="24"/>
      <c r="E136" s="24"/>
    </row>
    <row r="137" spans="1:5" x14ac:dyDescent="0.25">
      <c r="A137" s="25" t="s">
        <v>229</v>
      </c>
      <c r="B137" s="25"/>
      <c r="C137" s="25"/>
      <c r="D137" s="25"/>
      <c r="E137" s="25"/>
    </row>
    <row r="138" spans="1:5" ht="15.75" x14ac:dyDescent="0.25">
      <c r="A138" s="9" t="s">
        <v>4</v>
      </c>
      <c r="B138" s="9" t="s">
        <v>5</v>
      </c>
      <c r="C138" s="9" t="s">
        <v>6</v>
      </c>
      <c r="D138" s="9" t="s">
        <v>7</v>
      </c>
      <c r="E138" s="9" t="s">
        <v>8</v>
      </c>
    </row>
    <row r="139" spans="1:5" ht="18" customHeight="1" x14ac:dyDescent="0.25">
      <c r="A139" s="6"/>
      <c r="B139" s="4" t="s">
        <v>230</v>
      </c>
      <c r="C139" s="20"/>
      <c r="D139" s="6">
        <v>2</v>
      </c>
      <c r="E139" s="6"/>
    </row>
    <row r="140" spans="1:5" ht="29.25" customHeight="1" x14ac:dyDescent="0.25">
      <c r="A140" s="6"/>
      <c r="B140" s="13" t="s">
        <v>231</v>
      </c>
      <c r="C140" s="21"/>
      <c r="D140" s="6">
        <v>5</v>
      </c>
      <c r="E140" s="6"/>
    </row>
    <row r="141" spans="1:5" ht="19.5" customHeight="1" x14ac:dyDescent="0.25">
      <c r="A141" s="6"/>
      <c r="B141" s="4" t="s">
        <v>232</v>
      </c>
      <c r="C141" s="21"/>
      <c r="D141" s="6">
        <v>2</v>
      </c>
      <c r="E141" s="6"/>
    </row>
    <row r="142" spans="1:5" ht="20.25" customHeight="1" x14ac:dyDescent="0.25">
      <c r="A142" s="6"/>
      <c r="B142" s="4" t="s">
        <v>233</v>
      </c>
      <c r="C142" s="21"/>
      <c r="D142" s="6">
        <v>3</v>
      </c>
      <c r="E142" s="6"/>
    </row>
    <row r="143" spans="1:5" ht="30.75" customHeight="1" x14ac:dyDescent="0.25">
      <c r="A143" s="6"/>
      <c r="B143" s="7" t="s">
        <v>234</v>
      </c>
      <c r="C143" s="21"/>
      <c r="D143" s="6">
        <v>4</v>
      </c>
      <c r="E143" s="6"/>
    </row>
    <row r="144" spans="1:5" ht="24.75" customHeight="1" x14ac:dyDescent="0.25">
      <c r="A144" s="6"/>
      <c r="B144" s="16" t="s">
        <v>235</v>
      </c>
      <c r="C144" s="21"/>
      <c r="D144" s="6">
        <v>2</v>
      </c>
      <c r="E144" s="6"/>
    </row>
    <row r="145" spans="1:5" ht="18.75" customHeight="1" x14ac:dyDescent="0.25">
      <c r="A145" s="6"/>
      <c r="B145" s="17" t="s">
        <v>236</v>
      </c>
      <c r="C145" s="21"/>
      <c r="D145" s="6">
        <v>2</v>
      </c>
      <c r="E145" s="6"/>
    </row>
    <row r="146" spans="1:5" ht="18.75" customHeight="1" x14ac:dyDescent="0.25">
      <c r="A146" s="6"/>
      <c r="B146" s="13" t="s">
        <v>237</v>
      </c>
      <c r="C146" s="21"/>
      <c r="D146" s="6">
        <v>2</v>
      </c>
      <c r="E146" s="6"/>
    </row>
    <row r="147" spans="1:5" ht="21" customHeight="1" x14ac:dyDescent="0.25">
      <c r="A147" s="6"/>
      <c r="B147" s="13" t="s">
        <v>238</v>
      </c>
      <c r="C147" s="21"/>
      <c r="D147" s="6">
        <v>2</v>
      </c>
      <c r="E147" s="6"/>
    </row>
    <row r="148" spans="1:5" ht="19.5" customHeight="1" x14ac:dyDescent="0.25">
      <c r="A148" s="6"/>
      <c r="B148" s="13" t="s">
        <v>239</v>
      </c>
      <c r="C148" s="21"/>
      <c r="D148" s="6">
        <v>2</v>
      </c>
      <c r="E148" s="6"/>
    </row>
    <row r="149" spans="1:5" ht="21.75" customHeight="1" x14ac:dyDescent="0.25">
      <c r="A149" s="6"/>
      <c r="B149" s="13" t="s">
        <v>240</v>
      </c>
      <c r="C149" s="21"/>
      <c r="D149" s="6">
        <v>2</v>
      </c>
      <c r="E149" s="6"/>
    </row>
    <row r="150" spans="1:5" ht="20.25" customHeight="1" x14ac:dyDescent="0.25">
      <c r="A150" s="6"/>
      <c r="B150" s="13" t="s">
        <v>241</v>
      </c>
      <c r="C150" s="21"/>
      <c r="D150" s="6">
        <v>2</v>
      </c>
      <c r="E150" s="6"/>
    </row>
    <row r="151" spans="1:5" ht="19.5" customHeight="1" x14ac:dyDescent="0.25">
      <c r="A151" s="6"/>
      <c r="B151" s="13" t="s">
        <v>240</v>
      </c>
      <c r="C151" s="21"/>
      <c r="D151" s="6">
        <v>2</v>
      </c>
      <c r="E151" s="6"/>
    </row>
    <row r="152" spans="1:5" ht="29.25" customHeight="1" x14ac:dyDescent="0.25">
      <c r="A152" s="6"/>
      <c r="B152" s="13" t="s">
        <v>242</v>
      </c>
      <c r="C152" s="21"/>
      <c r="D152" s="6">
        <v>2</v>
      </c>
      <c r="E152" s="6"/>
    </row>
    <row r="153" spans="1:5" ht="18" customHeight="1" x14ac:dyDescent="0.25">
      <c r="A153" s="6"/>
      <c r="B153" s="13" t="s">
        <v>240</v>
      </c>
      <c r="C153" s="21"/>
      <c r="D153" s="6">
        <v>2</v>
      </c>
      <c r="E153" s="6"/>
    </row>
    <row r="154" spans="1:5" ht="30.75" customHeight="1" x14ac:dyDescent="0.25">
      <c r="A154" s="6"/>
      <c r="B154" s="13" t="s">
        <v>243</v>
      </c>
      <c r="C154" s="21"/>
      <c r="D154" s="6">
        <v>3</v>
      </c>
      <c r="E154" s="6"/>
    </row>
    <row r="155" spans="1:5" ht="16.5" customHeight="1" x14ac:dyDescent="0.25">
      <c r="A155" s="6"/>
      <c r="B155" s="13" t="s">
        <v>240</v>
      </c>
      <c r="C155" s="21"/>
      <c r="D155" s="6">
        <v>2</v>
      </c>
      <c r="E155" s="6"/>
    </row>
    <row r="156" spans="1:5" ht="28.5" customHeight="1" x14ac:dyDescent="0.25">
      <c r="A156" s="6"/>
      <c r="B156" s="13" t="s">
        <v>244</v>
      </c>
      <c r="C156" s="21"/>
      <c r="D156" s="6">
        <v>1</v>
      </c>
      <c r="E156" s="6"/>
    </row>
    <row r="157" spans="1:5" ht="17.25" customHeight="1" x14ac:dyDescent="0.25">
      <c r="A157" s="6"/>
      <c r="B157" s="13" t="s">
        <v>245</v>
      </c>
      <c r="C157" s="21"/>
      <c r="D157" s="6">
        <v>2</v>
      </c>
      <c r="E157" s="6"/>
    </row>
    <row r="158" spans="1:5" ht="28.5" customHeight="1" x14ac:dyDescent="0.25">
      <c r="A158" s="6"/>
      <c r="B158" s="13" t="s">
        <v>246</v>
      </c>
      <c r="C158" s="21"/>
      <c r="D158" s="6">
        <v>3</v>
      </c>
      <c r="E158" s="6"/>
    </row>
    <row r="159" spans="1:5" ht="18" customHeight="1" x14ac:dyDescent="0.25">
      <c r="A159" s="6"/>
      <c r="B159" s="13" t="s">
        <v>247</v>
      </c>
      <c r="C159" s="21"/>
      <c r="D159" s="6">
        <v>2</v>
      </c>
      <c r="E159" s="6"/>
    </row>
    <row r="160" spans="1:5" ht="19.5" customHeight="1" x14ac:dyDescent="0.25">
      <c r="A160" s="6"/>
      <c r="B160" s="13" t="s">
        <v>248</v>
      </c>
      <c r="C160" s="21"/>
      <c r="D160" s="6">
        <v>1</v>
      </c>
      <c r="E160" s="6"/>
    </row>
    <row r="161" spans="1:5" ht="17.25" customHeight="1" x14ac:dyDescent="0.25">
      <c r="A161" s="6"/>
      <c r="B161" s="13" t="s">
        <v>249</v>
      </c>
      <c r="C161" s="21"/>
      <c r="D161" s="6">
        <v>2</v>
      </c>
      <c r="E161" s="6"/>
    </row>
    <row r="162" spans="1:5" ht="18.75" customHeight="1" x14ac:dyDescent="0.25">
      <c r="A162" s="6"/>
      <c r="B162" s="13" t="s">
        <v>250</v>
      </c>
      <c r="C162" s="21"/>
      <c r="D162" s="6">
        <v>3</v>
      </c>
      <c r="E162" s="6"/>
    </row>
    <row r="163" spans="1:5" ht="18" customHeight="1" x14ac:dyDescent="0.25">
      <c r="A163" s="6"/>
      <c r="B163" s="13" t="s">
        <v>251</v>
      </c>
      <c r="C163" s="21"/>
      <c r="D163" s="6">
        <v>2</v>
      </c>
      <c r="E163" s="6"/>
    </row>
    <row r="164" spans="1:5" ht="18.75" customHeight="1" x14ac:dyDescent="0.25">
      <c r="A164" s="6"/>
      <c r="B164" s="13" t="s">
        <v>252</v>
      </c>
      <c r="C164" s="21"/>
      <c r="D164" s="6">
        <v>2</v>
      </c>
      <c r="E164" s="6"/>
    </row>
    <row r="165" spans="1:5" ht="18" customHeight="1" x14ac:dyDescent="0.25">
      <c r="A165" s="6"/>
      <c r="B165" s="13" t="s">
        <v>253</v>
      </c>
      <c r="C165" s="21"/>
      <c r="D165" s="6">
        <v>2</v>
      </c>
      <c r="E165" s="6"/>
    </row>
    <row r="166" spans="1:5" ht="18" customHeight="1" x14ac:dyDescent="0.25">
      <c r="A166" s="6"/>
      <c r="B166" s="13" t="s">
        <v>255</v>
      </c>
      <c r="C166" s="21"/>
      <c r="D166" s="6">
        <v>2</v>
      </c>
      <c r="E166" s="6"/>
    </row>
    <row r="167" spans="1:5" ht="30" customHeight="1" x14ac:dyDescent="0.25">
      <c r="A167" s="6"/>
      <c r="B167" s="13" t="s">
        <v>256</v>
      </c>
      <c r="C167" s="21"/>
      <c r="D167" s="6">
        <v>2</v>
      </c>
      <c r="E167" s="6"/>
    </row>
    <row r="168" spans="1:5" ht="32.25" customHeight="1" x14ac:dyDescent="0.25">
      <c r="A168" s="6"/>
      <c r="B168" s="13" t="s">
        <v>257</v>
      </c>
      <c r="C168" s="22"/>
      <c r="D168" s="6">
        <v>2</v>
      </c>
      <c r="E168" s="6"/>
    </row>
    <row r="169" spans="1:5" x14ac:dyDescent="0.25">
      <c r="A169" s="27" t="s">
        <v>258</v>
      </c>
      <c r="B169" s="27"/>
      <c r="C169" s="27"/>
      <c r="D169" s="27"/>
      <c r="E169" s="27"/>
    </row>
    <row r="170" spans="1:5" ht="15.75" x14ac:dyDescent="0.25">
      <c r="A170" s="9" t="s">
        <v>4</v>
      </c>
      <c r="B170" s="9" t="s">
        <v>5</v>
      </c>
      <c r="C170" s="9" t="s">
        <v>6</v>
      </c>
      <c r="D170" s="9" t="s">
        <v>7</v>
      </c>
      <c r="E170" s="9" t="s">
        <v>8</v>
      </c>
    </row>
    <row r="171" spans="1:5" ht="37.5" customHeight="1" x14ac:dyDescent="0.25">
      <c r="A171" s="6"/>
      <c r="B171" s="13" t="s">
        <v>259</v>
      </c>
      <c r="C171" s="20"/>
      <c r="D171" s="6">
        <v>1</v>
      </c>
      <c r="E171" s="6"/>
    </row>
    <row r="172" spans="1:5" ht="37.5" customHeight="1" x14ac:dyDescent="0.25">
      <c r="A172" s="6"/>
      <c r="B172" s="13" t="s">
        <v>260</v>
      </c>
      <c r="C172" s="21"/>
      <c r="D172" s="6">
        <v>1</v>
      </c>
      <c r="E172" s="6"/>
    </row>
    <row r="173" spans="1:5" ht="37.5" customHeight="1" x14ac:dyDescent="0.25">
      <c r="A173" s="6"/>
      <c r="B173" s="13" t="s">
        <v>261</v>
      </c>
      <c r="C173" s="21"/>
      <c r="D173" s="6">
        <v>1</v>
      </c>
      <c r="E173" s="6"/>
    </row>
    <row r="174" spans="1:5" ht="37.5" customHeight="1" x14ac:dyDescent="0.25">
      <c r="A174" s="6"/>
      <c r="B174" s="13" t="s">
        <v>262</v>
      </c>
      <c r="C174" s="21"/>
      <c r="D174" s="6">
        <v>1</v>
      </c>
      <c r="E174" s="6"/>
    </row>
    <row r="175" spans="1:5" ht="37.5" customHeight="1" x14ac:dyDescent="0.25">
      <c r="A175" s="6"/>
      <c r="B175" s="13" t="s">
        <v>263</v>
      </c>
      <c r="C175" s="21"/>
      <c r="D175" s="6">
        <v>1</v>
      </c>
      <c r="E175" s="6"/>
    </row>
    <row r="176" spans="1:5" ht="37.5" customHeight="1" x14ac:dyDescent="0.25">
      <c r="A176" s="6"/>
      <c r="B176" s="13" t="s">
        <v>264</v>
      </c>
      <c r="C176" s="21"/>
      <c r="D176" s="6">
        <v>3</v>
      </c>
      <c r="E176" s="6"/>
    </row>
    <row r="177" spans="1:5" ht="37.5" customHeight="1" x14ac:dyDescent="0.25">
      <c r="A177" s="6"/>
      <c r="B177" s="13" t="s">
        <v>265</v>
      </c>
      <c r="C177" s="21"/>
      <c r="D177" s="6">
        <v>3</v>
      </c>
      <c r="E177" s="6"/>
    </row>
    <row r="178" spans="1:5" ht="32.25" customHeight="1" x14ac:dyDescent="0.25">
      <c r="A178" s="6"/>
      <c r="B178" s="13" t="s">
        <v>266</v>
      </c>
      <c r="C178" s="21"/>
      <c r="D178" s="6">
        <v>2</v>
      </c>
      <c r="E178" s="6"/>
    </row>
    <row r="179" spans="1:5" ht="32.25" customHeight="1" x14ac:dyDescent="0.25">
      <c r="A179" s="6"/>
      <c r="B179" s="13" t="s">
        <v>267</v>
      </c>
      <c r="C179" s="21"/>
      <c r="D179" s="6">
        <v>3</v>
      </c>
      <c r="E179" s="6"/>
    </row>
    <row r="180" spans="1:5" ht="32.25" customHeight="1" x14ac:dyDescent="0.25">
      <c r="A180" s="6"/>
      <c r="B180" s="13" t="s">
        <v>268</v>
      </c>
      <c r="C180" s="21"/>
      <c r="D180" s="6">
        <v>2</v>
      </c>
      <c r="E180" s="6"/>
    </row>
    <row r="181" spans="1:5" ht="32.25" customHeight="1" x14ac:dyDescent="0.25">
      <c r="A181" s="6"/>
      <c r="B181" s="13" t="s">
        <v>269</v>
      </c>
      <c r="C181" s="21"/>
      <c r="D181" s="6">
        <v>3</v>
      </c>
      <c r="E181" s="6"/>
    </row>
    <row r="182" spans="1:5" ht="37.5" customHeight="1" x14ac:dyDescent="0.25">
      <c r="A182" s="6"/>
      <c r="B182" s="13" t="s">
        <v>270</v>
      </c>
      <c r="C182" s="21"/>
      <c r="D182" s="6">
        <v>2</v>
      </c>
      <c r="E182" s="6"/>
    </row>
    <row r="183" spans="1:5" ht="29.25" customHeight="1" x14ac:dyDescent="0.25">
      <c r="A183" s="6"/>
      <c r="B183" s="13" t="s">
        <v>271</v>
      </c>
      <c r="C183" s="21"/>
      <c r="D183" s="6">
        <v>4</v>
      </c>
      <c r="E183" s="6"/>
    </row>
    <row r="184" spans="1:5" ht="37.5" customHeight="1" x14ac:dyDescent="0.25">
      <c r="A184" s="6"/>
      <c r="B184" s="13" t="s">
        <v>272</v>
      </c>
      <c r="C184" s="21"/>
      <c r="D184" s="6">
        <v>2</v>
      </c>
      <c r="E184" s="6"/>
    </row>
    <row r="185" spans="1:5" ht="37.5" customHeight="1" x14ac:dyDescent="0.25">
      <c r="A185" s="6"/>
      <c r="B185" s="13" t="s">
        <v>273</v>
      </c>
      <c r="C185" s="21"/>
      <c r="D185" s="6">
        <v>1</v>
      </c>
      <c r="E185" s="6"/>
    </row>
    <row r="186" spans="1:5" ht="37.5" customHeight="1" x14ac:dyDescent="0.25">
      <c r="A186" s="6"/>
      <c r="B186" s="13" t="s">
        <v>274</v>
      </c>
      <c r="C186" s="21"/>
      <c r="D186" s="6">
        <v>1</v>
      </c>
      <c r="E186" s="6"/>
    </row>
    <row r="187" spans="1:5" ht="37.5" customHeight="1" x14ac:dyDescent="0.25">
      <c r="A187" s="6"/>
      <c r="B187" s="13" t="s">
        <v>275</v>
      </c>
      <c r="C187" s="21"/>
      <c r="D187" s="6">
        <v>1</v>
      </c>
      <c r="E187" s="6"/>
    </row>
    <row r="188" spans="1:5" ht="27.75" customHeight="1" x14ac:dyDescent="0.25">
      <c r="A188" s="6"/>
      <c r="B188" s="13" t="s">
        <v>254</v>
      </c>
      <c r="C188" s="21"/>
      <c r="D188" s="6">
        <v>1</v>
      </c>
      <c r="E188" s="6"/>
    </row>
    <row r="189" spans="1:5" ht="37.5" customHeight="1" x14ac:dyDescent="0.25">
      <c r="A189" s="6"/>
      <c r="B189" s="13" t="s">
        <v>276</v>
      </c>
      <c r="C189" s="22"/>
      <c r="D189" s="6">
        <v>0</v>
      </c>
      <c r="E189" s="6"/>
    </row>
    <row r="190" spans="1:5" x14ac:dyDescent="0.25">
      <c r="A190" s="27" t="s">
        <v>277</v>
      </c>
      <c r="B190" s="27"/>
      <c r="C190" s="27"/>
      <c r="D190" s="27"/>
      <c r="E190" s="27"/>
    </row>
    <row r="191" spans="1:5" ht="15.75" x14ac:dyDescent="0.25">
      <c r="A191" s="14" t="s">
        <v>4</v>
      </c>
      <c r="B191" s="14" t="s">
        <v>5</v>
      </c>
      <c r="C191" s="14" t="s">
        <v>6</v>
      </c>
      <c r="D191" s="14" t="s">
        <v>7</v>
      </c>
      <c r="E191" s="14" t="s">
        <v>8</v>
      </c>
    </row>
    <row r="192" spans="1:5" ht="30" x14ac:dyDescent="0.25">
      <c r="A192" s="18" t="s">
        <v>278</v>
      </c>
      <c r="B192" s="7" t="s">
        <v>279</v>
      </c>
      <c r="C192" s="19"/>
      <c r="D192" s="6">
        <v>1</v>
      </c>
      <c r="E192" s="6"/>
    </row>
    <row r="193" spans="1:17" ht="30" x14ac:dyDescent="0.25">
      <c r="A193" s="18" t="s">
        <v>308</v>
      </c>
      <c r="B193" s="7" t="s">
        <v>280</v>
      </c>
      <c r="C193" s="19"/>
      <c r="D193" s="6">
        <v>2</v>
      </c>
      <c r="E193" s="6"/>
    </row>
    <row r="194" spans="1:17" ht="45" x14ac:dyDescent="0.25">
      <c r="A194" s="18" t="s">
        <v>309</v>
      </c>
      <c r="B194" s="7" t="s">
        <v>281</v>
      </c>
      <c r="C194" s="19"/>
      <c r="D194" s="6">
        <v>1</v>
      </c>
      <c r="E194" s="6"/>
    </row>
    <row r="195" spans="1:17" ht="30" x14ac:dyDescent="0.25">
      <c r="A195" s="18" t="s">
        <v>310</v>
      </c>
      <c r="B195" s="7" t="s">
        <v>282</v>
      </c>
      <c r="C195" s="19"/>
      <c r="D195" s="6">
        <v>3</v>
      </c>
      <c r="E195" s="6"/>
    </row>
    <row r="196" spans="1:17" ht="30" x14ac:dyDescent="0.25">
      <c r="A196" s="18" t="s">
        <v>311</v>
      </c>
      <c r="B196" s="7" t="s">
        <v>283</v>
      </c>
      <c r="C196" s="19"/>
      <c r="D196" s="6">
        <v>2</v>
      </c>
      <c r="E196" s="6"/>
    </row>
    <row r="197" spans="1:17" x14ac:dyDescent="0.25">
      <c r="A197" s="18" t="s">
        <v>312</v>
      </c>
      <c r="B197" s="7" t="s">
        <v>284</v>
      </c>
      <c r="C197" s="19"/>
      <c r="D197" s="6">
        <v>1</v>
      </c>
      <c r="E197" s="6"/>
    </row>
    <row r="198" spans="1:17" ht="30" x14ac:dyDescent="0.25">
      <c r="A198" s="18" t="s">
        <v>313</v>
      </c>
      <c r="B198" s="7" t="s">
        <v>285</v>
      </c>
      <c r="C198" s="19"/>
      <c r="D198" s="6">
        <v>2</v>
      </c>
      <c r="E198" s="6"/>
    </row>
    <row r="199" spans="1:17" x14ac:dyDescent="0.25">
      <c r="A199" s="18" t="s">
        <v>314</v>
      </c>
      <c r="B199" s="7" t="s">
        <v>286</v>
      </c>
      <c r="C199" s="19"/>
      <c r="D199" s="6">
        <v>1</v>
      </c>
      <c r="E199" s="6"/>
      <c r="Q199" t="s">
        <v>337</v>
      </c>
    </row>
    <row r="200" spans="1:17" x14ac:dyDescent="0.25">
      <c r="A200" s="18" t="s">
        <v>315</v>
      </c>
      <c r="B200" s="7" t="s">
        <v>287</v>
      </c>
      <c r="C200" s="19"/>
      <c r="D200" s="6">
        <v>1</v>
      </c>
      <c r="E200" s="6"/>
    </row>
    <row r="201" spans="1:17" x14ac:dyDescent="0.25">
      <c r="A201" s="18" t="s">
        <v>316</v>
      </c>
      <c r="B201" s="7" t="s">
        <v>288</v>
      </c>
      <c r="C201" s="19"/>
      <c r="D201" s="6">
        <v>2</v>
      </c>
      <c r="E201" s="6"/>
    </row>
    <row r="202" spans="1:17" ht="30" x14ac:dyDescent="0.25">
      <c r="A202" s="18" t="s">
        <v>317</v>
      </c>
      <c r="B202" s="7" t="s">
        <v>289</v>
      </c>
      <c r="C202" s="19"/>
      <c r="D202" s="6">
        <v>2</v>
      </c>
      <c r="E202" s="6"/>
    </row>
    <row r="203" spans="1:17" ht="45" x14ac:dyDescent="0.25">
      <c r="A203" s="18" t="s">
        <v>318</v>
      </c>
      <c r="B203" s="7" t="s">
        <v>290</v>
      </c>
      <c r="C203" s="19"/>
      <c r="D203" s="6">
        <v>1</v>
      </c>
      <c r="E203" s="6"/>
    </row>
    <row r="204" spans="1:17" x14ac:dyDescent="0.25">
      <c r="A204" s="18" t="s">
        <v>319</v>
      </c>
      <c r="B204" s="7" t="s">
        <v>291</v>
      </c>
      <c r="C204" s="19"/>
      <c r="D204" s="6">
        <v>2</v>
      </c>
      <c r="E204" s="6"/>
    </row>
    <row r="205" spans="1:17" x14ac:dyDescent="0.25">
      <c r="A205" s="18" t="s">
        <v>320</v>
      </c>
      <c r="B205" s="7" t="s">
        <v>292</v>
      </c>
      <c r="C205" s="19"/>
      <c r="D205" s="6">
        <v>3</v>
      </c>
      <c r="E205" s="6"/>
    </row>
    <row r="206" spans="1:17" x14ac:dyDescent="0.25">
      <c r="A206" s="18" t="s">
        <v>321</v>
      </c>
      <c r="B206" s="7" t="s">
        <v>293</v>
      </c>
      <c r="C206" s="19"/>
      <c r="D206" s="6">
        <v>1</v>
      </c>
      <c r="E206" s="6"/>
    </row>
    <row r="207" spans="1:17" ht="30" x14ac:dyDescent="0.25">
      <c r="A207" s="18" t="s">
        <v>322</v>
      </c>
      <c r="B207" s="7" t="s">
        <v>294</v>
      </c>
      <c r="C207" s="19"/>
      <c r="D207" s="6">
        <v>2</v>
      </c>
      <c r="E207" s="6"/>
    </row>
    <row r="208" spans="1:17" x14ac:dyDescent="0.25">
      <c r="A208" s="18" t="s">
        <v>323</v>
      </c>
      <c r="B208" s="7" t="s">
        <v>295</v>
      </c>
      <c r="C208" s="19"/>
      <c r="D208" s="6">
        <v>3</v>
      </c>
      <c r="E208" s="6"/>
    </row>
    <row r="209" spans="1:5" ht="30" x14ac:dyDescent="0.25">
      <c r="A209" s="18" t="s">
        <v>324</v>
      </c>
      <c r="B209" s="7" t="s">
        <v>296</v>
      </c>
      <c r="C209" s="19"/>
      <c r="D209" s="6">
        <v>1</v>
      </c>
      <c r="E209" s="6"/>
    </row>
    <row r="210" spans="1:5" ht="30" x14ac:dyDescent="0.25">
      <c r="A210" s="18" t="s">
        <v>325</v>
      </c>
      <c r="B210" s="7" t="s">
        <v>297</v>
      </c>
      <c r="C210" s="19"/>
      <c r="D210" s="6">
        <v>2</v>
      </c>
      <c r="E210" s="6"/>
    </row>
    <row r="211" spans="1:5" ht="30" x14ac:dyDescent="0.25">
      <c r="A211" s="18" t="s">
        <v>326</v>
      </c>
      <c r="B211" s="7" t="s">
        <v>298</v>
      </c>
      <c r="C211" s="19"/>
      <c r="D211" s="6">
        <v>3</v>
      </c>
      <c r="E211" s="6"/>
    </row>
    <row r="212" spans="1:5" ht="45" x14ac:dyDescent="0.25">
      <c r="A212" s="18" t="s">
        <v>327</v>
      </c>
      <c r="B212" s="7" t="s">
        <v>299</v>
      </c>
      <c r="C212" s="19"/>
      <c r="D212" s="6">
        <v>1</v>
      </c>
      <c r="E212" s="6"/>
    </row>
    <row r="213" spans="1:5" x14ac:dyDescent="0.25">
      <c r="A213" s="18" t="s">
        <v>328</v>
      </c>
      <c r="B213" s="7" t="s">
        <v>300</v>
      </c>
      <c r="C213" s="19"/>
      <c r="D213" s="6">
        <v>2</v>
      </c>
      <c r="E213" s="6"/>
    </row>
    <row r="214" spans="1:5" ht="30" x14ac:dyDescent="0.25">
      <c r="A214" s="18" t="s">
        <v>329</v>
      </c>
      <c r="B214" s="7" t="s">
        <v>301</v>
      </c>
      <c r="C214" s="19"/>
      <c r="D214" s="6">
        <v>2</v>
      </c>
      <c r="E214" s="6"/>
    </row>
    <row r="215" spans="1:5" ht="30" x14ac:dyDescent="0.25">
      <c r="A215" s="18" t="s">
        <v>330</v>
      </c>
      <c r="B215" s="7" t="s">
        <v>302</v>
      </c>
      <c r="C215" s="19"/>
      <c r="D215" s="6">
        <v>1</v>
      </c>
      <c r="E215" s="6"/>
    </row>
    <row r="216" spans="1:5" ht="30" x14ac:dyDescent="0.25">
      <c r="A216" s="18" t="s">
        <v>331</v>
      </c>
      <c r="B216" s="13" t="s">
        <v>303</v>
      </c>
      <c r="C216" s="19"/>
      <c r="D216" s="6">
        <v>3</v>
      </c>
      <c r="E216" s="6"/>
    </row>
    <row r="217" spans="1:5" ht="30" x14ac:dyDescent="0.25">
      <c r="A217" s="18" t="s">
        <v>332</v>
      </c>
      <c r="B217" s="7" t="s">
        <v>304</v>
      </c>
      <c r="C217" s="19"/>
      <c r="D217" s="6">
        <v>1</v>
      </c>
      <c r="E217" s="6"/>
    </row>
    <row r="218" spans="1:5" x14ac:dyDescent="0.25">
      <c r="A218" s="18" t="s">
        <v>333</v>
      </c>
      <c r="B218" s="7" t="s">
        <v>305</v>
      </c>
      <c r="C218" s="19"/>
      <c r="D218" s="6">
        <v>4</v>
      </c>
      <c r="E218" s="6"/>
    </row>
    <row r="219" spans="1:5" x14ac:dyDescent="0.25">
      <c r="A219" s="18" t="s">
        <v>334</v>
      </c>
      <c r="B219" s="7" t="s">
        <v>306</v>
      </c>
      <c r="C219" s="19"/>
      <c r="D219" s="6">
        <v>2</v>
      </c>
      <c r="E219" s="6"/>
    </row>
    <row r="220" spans="1:5" ht="30" x14ac:dyDescent="0.25">
      <c r="A220" s="18" t="s">
        <v>335</v>
      </c>
      <c r="B220" s="7" t="s">
        <v>307</v>
      </c>
      <c r="C220" s="19"/>
      <c r="D220" s="6">
        <v>3</v>
      </c>
      <c r="E220" s="6"/>
    </row>
    <row r="222" spans="1:5" x14ac:dyDescent="0.25">
      <c r="A222" s="40" t="s">
        <v>336</v>
      </c>
      <c r="B222" s="41"/>
      <c r="C222" s="41"/>
      <c r="D222" s="41"/>
      <c r="E222" s="41"/>
    </row>
    <row r="223" spans="1:5" x14ac:dyDescent="0.25">
      <c r="A223" s="41"/>
      <c r="B223" s="41"/>
      <c r="C223" s="41"/>
      <c r="D223" s="41"/>
      <c r="E223" s="41"/>
    </row>
  </sheetData>
  <mergeCells count="44">
    <mergeCell ref="C171:C189"/>
    <mergeCell ref="A190:E190"/>
    <mergeCell ref="A222:E223"/>
    <mergeCell ref="A108:E108"/>
    <mergeCell ref="C110:C133"/>
    <mergeCell ref="A136:E136"/>
    <mergeCell ref="A137:E137"/>
    <mergeCell ref="C139:C168"/>
    <mergeCell ref="A169:E169"/>
    <mergeCell ref="A73:E73"/>
    <mergeCell ref="C75:C83"/>
    <mergeCell ref="A84:E84"/>
    <mergeCell ref="C86:C98"/>
    <mergeCell ref="A99:E99"/>
    <mergeCell ref="C101:C107"/>
    <mergeCell ref="A26:E26"/>
    <mergeCell ref="C28:C49"/>
    <mergeCell ref="A50:E50"/>
    <mergeCell ref="A51:E51"/>
    <mergeCell ref="C60:C71"/>
    <mergeCell ref="C72:E72"/>
    <mergeCell ref="C6:C25"/>
    <mergeCell ref="G9:H9"/>
    <mergeCell ref="G10:G11"/>
    <mergeCell ref="G12:G16"/>
    <mergeCell ref="G17:G19"/>
    <mergeCell ref="I22:M22"/>
    <mergeCell ref="K2:K5"/>
    <mergeCell ref="L2:L5"/>
    <mergeCell ref="M2:M5"/>
    <mergeCell ref="N2:N5"/>
    <mergeCell ref="O2:O5"/>
    <mergeCell ref="A3:E3"/>
    <mergeCell ref="A4:E4"/>
    <mergeCell ref="A1:E1"/>
    <mergeCell ref="F1:G1"/>
    <mergeCell ref="H1:L1"/>
    <mergeCell ref="M1:O1"/>
    <mergeCell ref="A2:B2"/>
    <mergeCell ref="F2:F5"/>
    <mergeCell ref="G2:G5"/>
    <mergeCell ref="H2:H5"/>
    <mergeCell ref="I2:I5"/>
    <mergeCell ref="J2:J5"/>
  </mergeCells>
  <pageMargins left="0.7" right="0.7" top="0.75" bottom="0.75" header="0.3" footer="0.3"/>
  <pageSetup orientation="portrait" horizontalDpi="0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23"/>
  <sheetViews>
    <sheetView topLeftCell="B19" workbookViewId="0">
      <selection activeCell="P20" sqref="P20"/>
    </sheetView>
  </sheetViews>
  <sheetFormatPr defaultRowHeight="15" x14ac:dyDescent="0.25"/>
  <cols>
    <col min="1" max="1" width="5.42578125" customWidth="1"/>
    <col min="2" max="2" width="29.7109375" style="3" customWidth="1"/>
    <col min="3" max="3" width="11.5703125" customWidth="1"/>
    <col min="5" max="5" width="28.28515625" customWidth="1"/>
    <col min="6" max="15" width="8.140625" customWidth="1"/>
  </cols>
  <sheetData>
    <row r="1" spans="1:15" ht="25.5" customHeight="1" x14ac:dyDescent="0.25">
      <c r="A1" s="37" t="s">
        <v>0</v>
      </c>
      <c r="B1" s="37"/>
      <c r="C1" s="37"/>
      <c r="D1" s="37"/>
      <c r="E1" s="37"/>
      <c r="F1" s="44" t="s">
        <v>2</v>
      </c>
      <c r="G1" s="44"/>
      <c r="H1" s="44" t="s">
        <v>95</v>
      </c>
      <c r="I1" s="44"/>
      <c r="J1" s="44"/>
      <c r="K1" s="44"/>
      <c r="L1" s="44"/>
      <c r="M1" s="45" t="s">
        <v>228</v>
      </c>
      <c r="N1" s="45"/>
      <c r="O1" s="45"/>
    </row>
    <row r="2" spans="1:15" ht="16.5" customHeight="1" x14ac:dyDescent="0.25">
      <c r="A2" s="35" t="s">
        <v>1</v>
      </c>
      <c r="B2" s="35"/>
      <c r="C2" s="3"/>
      <c r="D2" s="3"/>
      <c r="E2" s="3"/>
      <c r="F2" s="42" t="s">
        <v>3</v>
      </c>
      <c r="G2" s="42" t="s">
        <v>49</v>
      </c>
      <c r="H2" s="42" t="s">
        <v>163</v>
      </c>
      <c r="I2" s="42" t="s">
        <v>111</v>
      </c>
      <c r="J2" s="42" t="s">
        <v>130</v>
      </c>
      <c r="K2" s="42" t="s">
        <v>164</v>
      </c>
      <c r="L2" s="42" t="s">
        <v>179</v>
      </c>
      <c r="M2" s="42" t="s">
        <v>229</v>
      </c>
      <c r="N2" s="42" t="s">
        <v>258</v>
      </c>
      <c r="O2" s="42" t="s">
        <v>277</v>
      </c>
    </row>
    <row r="3" spans="1:15" x14ac:dyDescent="0.25">
      <c r="A3" s="36" t="s">
        <v>2</v>
      </c>
      <c r="B3" s="36"/>
      <c r="C3" s="36"/>
      <c r="D3" s="36"/>
      <c r="E3" s="36"/>
      <c r="F3" s="42"/>
      <c r="G3" s="42"/>
      <c r="H3" s="42"/>
      <c r="I3" s="42"/>
      <c r="J3" s="42"/>
      <c r="K3" s="42"/>
      <c r="L3" s="42"/>
      <c r="M3" s="42"/>
      <c r="N3" s="42"/>
      <c r="O3" s="42"/>
    </row>
    <row r="4" spans="1:15" x14ac:dyDescent="0.25">
      <c r="A4" s="32" t="s">
        <v>3</v>
      </c>
      <c r="B4" s="32"/>
      <c r="C4" s="32"/>
      <c r="D4" s="32"/>
      <c r="E4" s="32"/>
      <c r="F4" s="42"/>
      <c r="G4" s="42"/>
      <c r="H4" s="42"/>
      <c r="I4" s="42"/>
      <c r="J4" s="42"/>
      <c r="K4" s="42"/>
      <c r="L4" s="42"/>
      <c r="M4" s="42"/>
      <c r="N4" s="42"/>
      <c r="O4" s="42"/>
    </row>
    <row r="5" spans="1:15" ht="15.75" x14ac:dyDescent="0.25">
      <c r="A5" s="9" t="s">
        <v>4</v>
      </c>
      <c r="B5" s="9" t="s">
        <v>5</v>
      </c>
      <c r="C5" s="9" t="s">
        <v>6</v>
      </c>
      <c r="D5" s="9" t="s">
        <v>7</v>
      </c>
      <c r="E5" s="9" t="s">
        <v>8</v>
      </c>
      <c r="F5" s="42"/>
      <c r="G5" s="42"/>
      <c r="H5" s="42"/>
      <c r="I5" s="42"/>
      <c r="J5" s="42"/>
      <c r="K5" s="42"/>
      <c r="L5" s="42"/>
      <c r="M5" s="42"/>
      <c r="N5" s="42"/>
      <c r="O5" s="42"/>
    </row>
    <row r="6" spans="1:15" ht="30" x14ac:dyDescent="0.25">
      <c r="A6" s="5" t="s">
        <v>9</v>
      </c>
      <c r="B6" s="7" t="s">
        <v>29</v>
      </c>
      <c r="C6" s="28" t="s">
        <v>94</v>
      </c>
      <c r="D6" s="6">
        <v>1</v>
      </c>
      <c r="E6" s="6"/>
      <c r="F6" s="3">
        <f>SUM(D6:D25)</f>
        <v>37</v>
      </c>
      <c r="G6" s="3">
        <f>SUM(D28:D49)</f>
        <v>41</v>
      </c>
      <c r="H6" s="3">
        <f>SUM(D53:D71)</f>
        <v>37</v>
      </c>
      <c r="I6" s="3">
        <f>SUM(D75:D83)</f>
        <v>9</v>
      </c>
      <c r="J6" s="3">
        <f>SUM(D86:D98)</f>
        <v>20</v>
      </c>
      <c r="K6" s="3">
        <f>SUM(D101:D107)</f>
        <v>13</v>
      </c>
      <c r="L6" s="3">
        <f>SUM(D110:D133)</f>
        <v>47</v>
      </c>
      <c r="M6" s="3">
        <f>SUM(D139:D168)</f>
        <v>67</v>
      </c>
      <c r="N6" s="3">
        <f>SUM(D171:D189)</f>
        <v>33</v>
      </c>
      <c r="O6" s="3">
        <f>SUM(D192:D220)</f>
        <v>55</v>
      </c>
    </row>
    <row r="7" spans="1:15" ht="30" x14ac:dyDescent="0.25">
      <c r="A7" s="5" t="s">
        <v>10</v>
      </c>
      <c r="B7" s="7" t="s">
        <v>30</v>
      </c>
      <c r="C7" s="29"/>
      <c r="D7" s="6">
        <v>2</v>
      </c>
      <c r="E7" s="6"/>
      <c r="F7" s="43">
        <f>F6/(20*5)</f>
        <v>0.37</v>
      </c>
      <c r="G7" s="43">
        <f>G6/(22*5)</f>
        <v>0.37272727272727274</v>
      </c>
      <c r="H7" s="43">
        <f>H6/(19*5)</f>
        <v>0.38947368421052631</v>
      </c>
      <c r="I7" s="43">
        <f>I6/(9*5)</f>
        <v>0.2</v>
      </c>
      <c r="J7" s="43">
        <f>J6/(12*5)</f>
        <v>0.33333333333333331</v>
      </c>
      <c r="K7" s="43">
        <f>K6/(7*5)</f>
        <v>0.37142857142857144</v>
      </c>
      <c r="L7" s="43">
        <f>L6/(24*5)</f>
        <v>0.39166666666666666</v>
      </c>
      <c r="M7" s="43">
        <f>M6/(30*5)</f>
        <v>0.44666666666666666</v>
      </c>
      <c r="N7" s="43">
        <f>N6/(19*5)</f>
        <v>0.3473684210526316</v>
      </c>
      <c r="O7" s="43">
        <f>O6/(29*5)</f>
        <v>0.37931034482758619</v>
      </c>
    </row>
    <row r="8" spans="1:15" ht="45" x14ac:dyDescent="0.25">
      <c r="A8" s="5" t="s">
        <v>11</v>
      </c>
      <c r="B8" s="7" t="s">
        <v>31</v>
      </c>
      <c r="C8" s="29"/>
      <c r="D8" s="6">
        <v>2</v>
      </c>
      <c r="E8" s="6"/>
    </row>
    <row r="9" spans="1:15" ht="22.5" customHeight="1" x14ac:dyDescent="0.25">
      <c r="A9" s="5" t="s">
        <v>12</v>
      </c>
      <c r="B9" s="7" t="s">
        <v>32</v>
      </c>
      <c r="C9" s="29"/>
      <c r="D9" s="6">
        <v>2</v>
      </c>
      <c r="E9" s="46"/>
      <c r="F9" s="47" t="s">
        <v>339</v>
      </c>
      <c r="G9" s="49" t="s">
        <v>340</v>
      </c>
      <c r="H9" s="49"/>
      <c r="I9" s="52" t="s">
        <v>341</v>
      </c>
      <c r="J9" s="53" t="s">
        <v>338</v>
      </c>
    </row>
    <row r="10" spans="1:15" ht="22.5" customHeight="1" x14ac:dyDescent="0.25">
      <c r="A10" s="5" t="s">
        <v>13</v>
      </c>
      <c r="B10" s="7" t="s">
        <v>33</v>
      </c>
      <c r="C10" s="29"/>
      <c r="D10" s="6">
        <v>2</v>
      </c>
      <c r="E10" s="46"/>
      <c r="F10" s="47">
        <v>1</v>
      </c>
      <c r="G10" s="49" t="s">
        <v>2</v>
      </c>
      <c r="H10" s="50" t="s">
        <v>3</v>
      </c>
      <c r="I10" s="48">
        <v>1</v>
      </c>
      <c r="J10" s="43">
        <f>F6/(20*5)</f>
        <v>0.37</v>
      </c>
    </row>
    <row r="11" spans="1:15" ht="22.5" customHeight="1" x14ac:dyDescent="0.25">
      <c r="A11" s="5" t="s">
        <v>14</v>
      </c>
      <c r="B11" s="7" t="s">
        <v>34</v>
      </c>
      <c r="C11" s="29"/>
      <c r="D11" s="6">
        <v>2</v>
      </c>
      <c r="E11" s="46"/>
      <c r="F11" s="47">
        <v>2</v>
      </c>
      <c r="G11" s="49"/>
      <c r="H11" s="50" t="s">
        <v>49</v>
      </c>
      <c r="I11" s="48">
        <v>1</v>
      </c>
      <c r="J11" s="43">
        <f>G6/(22*5)</f>
        <v>0.37272727272727274</v>
      </c>
    </row>
    <row r="12" spans="1:15" ht="45" x14ac:dyDescent="0.25">
      <c r="A12" s="5" t="s">
        <v>15</v>
      </c>
      <c r="B12" s="7" t="s">
        <v>35</v>
      </c>
      <c r="C12" s="29"/>
      <c r="D12" s="6">
        <v>2</v>
      </c>
      <c r="E12" s="46"/>
      <c r="F12" s="47">
        <v>3</v>
      </c>
      <c r="G12" s="49" t="s">
        <v>95</v>
      </c>
      <c r="H12" s="50" t="s">
        <v>163</v>
      </c>
      <c r="I12" s="48">
        <v>1</v>
      </c>
      <c r="J12" s="43">
        <f>H6/(19*5)</f>
        <v>0.38947368421052631</v>
      </c>
    </row>
    <row r="13" spans="1:15" ht="33.75" x14ac:dyDescent="0.25">
      <c r="A13" s="5" t="s">
        <v>16</v>
      </c>
      <c r="B13" s="7" t="s">
        <v>36</v>
      </c>
      <c r="C13" s="29"/>
      <c r="D13" s="6">
        <v>2</v>
      </c>
      <c r="E13" s="46"/>
      <c r="F13" s="47">
        <v>4</v>
      </c>
      <c r="G13" s="49"/>
      <c r="H13" s="50" t="s">
        <v>111</v>
      </c>
      <c r="I13" s="48">
        <v>1</v>
      </c>
      <c r="J13" s="43">
        <f>I6/(9*5)</f>
        <v>0.2</v>
      </c>
    </row>
    <row r="14" spans="1:15" ht="23.25" customHeight="1" x14ac:dyDescent="0.25">
      <c r="A14" s="5" t="s">
        <v>17</v>
      </c>
      <c r="B14" s="7" t="s">
        <v>37</v>
      </c>
      <c r="C14" s="29"/>
      <c r="D14" s="6">
        <v>3</v>
      </c>
      <c r="E14" s="46"/>
      <c r="F14" s="47">
        <v>5</v>
      </c>
      <c r="G14" s="49"/>
      <c r="H14" s="50" t="s">
        <v>130</v>
      </c>
      <c r="I14" s="48">
        <v>1</v>
      </c>
      <c r="J14" s="43">
        <f>J6/(12*5)</f>
        <v>0.33333333333333331</v>
      </c>
    </row>
    <row r="15" spans="1:15" ht="30" x14ac:dyDescent="0.25">
      <c r="A15" s="5" t="s">
        <v>18</v>
      </c>
      <c r="B15" s="7" t="s">
        <v>38</v>
      </c>
      <c r="C15" s="29"/>
      <c r="D15" s="6">
        <v>3</v>
      </c>
      <c r="E15" s="46"/>
      <c r="F15" s="47">
        <v>6</v>
      </c>
      <c r="G15" s="49"/>
      <c r="H15" s="50" t="s">
        <v>164</v>
      </c>
      <c r="I15" s="48">
        <v>1</v>
      </c>
      <c r="J15" s="43">
        <f>K6/(7*5)</f>
        <v>0.37142857142857144</v>
      </c>
    </row>
    <row r="16" spans="1:15" ht="26.25" customHeight="1" x14ac:dyDescent="0.25">
      <c r="A16" s="5" t="s">
        <v>19</v>
      </c>
      <c r="B16" s="7" t="s">
        <v>39</v>
      </c>
      <c r="C16" s="29"/>
      <c r="D16" s="6">
        <v>3</v>
      </c>
      <c r="E16" s="46"/>
      <c r="F16" s="47">
        <v>7</v>
      </c>
      <c r="G16" s="49"/>
      <c r="H16" s="50" t="s">
        <v>179</v>
      </c>
      <c r="I16" s="48">
        <v>1</v>
      </c>
      <c r="J16" s="43">
        <f>L6/(24*5)</f>
        <v>0.39166666666666666</v>
      </c>
    </row>
    <row r="17" spans="1:13" ht="33.75" x14ac:dyDescent="0.25">
      <c r="A17" s="5" t="s">
        <v>20</v>
      </c>
      <c r="B17" s="7" t="s">
        <v>40</v>
      </c>
      <c r="C17" s="29"/>
      <c r="D17" s="6">
        <v>3</v>
      </c>
      <c r="E17" s="46"/>
      <c r="F17" s="54">
        <v>8</v>
      </c>
      <c r="G17" s="49" t="s">
        <v>228</v>
      </c>
      <c r="H17" s="51" t="s">
        <v>229</v>
      </c>
      <c r="I17" s="48">
        <v>1</v>
      </c>
      <c r="J17" s="43">
        <f>M6/(30*5)</f>
        <v>0.44666666666666666</v>
      </c>
    </row>
    <row r="18" spans="1:13" ht="33.75" x14ac:dyDescent="0.25">
      <c r="A18" s="5" t="s">
        <v>21</v>
      </c>
      <c r="B18" s="7" t="s">
        <v>41</v>
      </c>
      <c r="C18" s="29"/>
      <c r="D18" s="6">
        <v>2</v>
      </c>
      <c r="E18" s="6"/>
      <c r="F18" s="54">
        <v>9</v>
      </c>
      <c r="G18" s="49"/>
      <c r="H18" s="51" t="s">
        <v>258</v>
      </c>
      <c r="I18" s="48">
        <v>1</v>
      </c>
      <c r="J18" s="43">
        <f>N6/(19*5)</f>
        <v>0.3473684210526316</v>
      </c>
    </row>
    <row r="19" spans="1:13" ht="33.75" x14ac:dyDescent="0.25">
      <c r="A19" s="5" t="s">
        <v>22</v>
      </c>
      <c r="B19" s="7" t="s">
        <v>42</v>
      </c>
      <c r="C19" s="29"/>
      <c r="D19" s="6">
        <v>2</v>
      </c>
      <c r="E19" s="6"/>
      <c r="F19" s="54">
        <v>10</v>
      </c>
      <c r="G19" s="49"/>
      <c r="H19" s="51" t="s">
        <v>277</v>
      </c>
      <c r="I19" s="48">
        <v>1</v>
      </c>
      <c r="J19" s="43">
        <f>O6/(29*5)</f>
        <v>0.37931034482758619</v>
      </c>
    </row>
    <row r="20" spans="1:13" ht="45" x14ac:dyDescent="0.25">
      <c r="A20" s="5" t="s">
        <v>23</v>
      </c>
      <c r="B20" s="7" t="s">
        <v>43</v>
      </c>
      <c r="C20" s="29"/>
      <c r="D20" s="6">
        <v>3</v>
      </c>
      <c r="E20" s="6"/>
    </row>
    <row r="21" spans="1:13" ht="27.75" customHeight="1" x14ac:dyDescent="0.25">
      <c r="A21" s="5" t="s">
        <v>24</v>
      </c>
      <c r="B21" s="7" t="s">
        <v>44</v>
      </c>
      <c r="C21" s="29"/>
      <c r="D21" s="6">
        <v>2</v>
      </c>
      <c r="E21" s="6"/>
    </row>
    <row r="22" spans="1:13" ht="30" x14ac:dyDescent="0.25">
      <c r="A22" s="5" t="s">
        <v>25</v>
      </c>
      <c r="B22" s="7" t="s">
        <v>45</v>
      </c>
      <c r="C22" s="29"/>
      <c r="D22" s="6">
        <v>0</v>
      </c>
      <c r="E22" s="6"/>
      <c r="I22" s="39" t="s">
        <v>342</v>
      </c>
      <c r="J22" s="39"/>
      <c r="K22" s="39"/>
      <c r="L22" s="39"/>
      <c r="M22" s="39"/>
    </row>
    <row r="23" spans="1:13" ht="36" customHeight="1" x14ac:dyDescent="0.25">
      <c r="A23" s="5" t="s">
        <v>26</v>
      </c>
      <c r="B23" s="7" t="s">
        <v>46</v>
      </c>
      <c r="C23" s="29"/>
      <c r="D23" s="6">
        <v>0</v>
      </c>
      <c r="E23" s="6"/>
    </row>
    <row r="24" spans="1:13" ht="30" x14ac:dyDescent="0.25">
      <c r="A24" s="5" t="s">
        <v>27</v>
      </c>
      <c r="B24" s="7" t="s">
        <v>47</v>
      </c>
      <c r="C24" s="29"/>
      <c r="D24" s="6">
        <v>0</v>
      </c>
      <c r="E24" s="6"/>
    </row>
    <row r="25" spans="1:13" ht="26.25" customHeight="1" x14ac:dyDescent="0.25">
      <c r="A25" s="5" t="s">
        <v>28</v>
      </c>
      <c r="B25" s="7" t="s">
        <v>48</v>
      </c>
      <c r="C25" s="30"/>
      <c r="D25" s="6">
        <v>1</v>
      </c>
      <c r="E25" s="6"/>
    </row>
    <row r="26" spans="1:13" x14ac:dyDescent="0.25">
      <c r="A26" s="27" t="s">
        <v>49</v>
      </c>
      <c r="B26" s="27"/>
      <c r="C26" s="27"/>
      <c r="D26" s="27"/>
      <c r="E26" s="27"/>
    </row>
    <row r="27" spans="1:13" s="10" customFormat="1" ht="15.75" x14ac:dyDescent="0.25">
      <c r="A27" s="9" t="s">
        <v>4</v>
      </c>
      <c r="B27" s="9" t="s">
        <v>5</v>
      </c>
      <c r="C27" s="9" t="s">
        <v>6</v>
      </c>
      <c r="D27" s="9" t="s">
        <v>7</v>
      </c>
      <c r="E27" s="9" t="s">
        <v>8</v>
      </c>
    </row>
    <row r="28" spans="1:13" ht="35.25" customHeight="1" x14ac:dyDescent="0.25">
      <c r="A28" s="5" t="s">
        <v>50</v>
      </c>
      <c r="B28" s="7" t="s">
        <v>72</v>
      </c>
      <c r="C28" s="23" t="s">
        <v>94</v>
      </c>
      <c r="D28" s="6">
        <v>2</v>
      </c>
      <c r="E28" s="6"/>
    </row>
    <row r="29" spans="1:13" ht="30.75" customHeight="1" x14ac:dyDescent="0.25">
      <c r="A29" s="5" t="s">
        <v>51</v>
      </c>
      <c r="B29" s="7" t="s">
        <v>73</v>
      </c>
      <c r="C29" s="23"/>
      <c r="D29" s="6">
        <v>1</v>
      </c>
      <c r="E29" s="6"/>
    </row>
    <row r="30" spans="1:13" ht="30.75" customHeight="1" x14ac:dyDescent="0.25">
      <c r="A30" s="5" t="s">
        <v>52</v>
      </c>
      <c r="B30" s="7" t="s">
        <v>74</v>
      </c>
      <c r="C30" s="23"/>
      <c r="D30" s="6">
        <v>2</v>
      </c>
      <c r="E30" s="6"/>
    </row>
    <row r="31" spans="1:13" ht="30.75" customHeight="1" x14ac:dyDescent="0.25">
      <c r="A31" s="5" t="s">
        <v>53</v>
      </c>
      <c r="B31" s="7" t="s">
        <v>75</v>
      </c>
      <c r="C31" s="23"/>
      <c r="D31" s="6">
        <v>3</v>
      </c>
      <c r="E31" s="6"/>
    </row>
    <row r="32" spans="1:13" ht="30.75" customHeight="1" x14ac:dyDescent="0.25">
      <c r="A32" s="5" t="s">
        <v>54</v>
      </c>
      <c r="B32" s="7" t="s">
        <v>76</v>
      </c>
      <c r="C32" s="23"/>
      <c r="D32" s="6">
        <v>2</v>
      </c>
      <c r="E32" s="6"/>
    </row>
    <row r="33" spans="1:5" ht="30.75" customHeight="1" x14ac:dyDescent="0.25">
      <c r="A33" s="5" t="s">
        <v>55</v>
      </c>
      <c r="B33" s="7" t="s">
        <v>77</v>
      </c>
      <c r="C33" s="23"/>
      <c r="D33" s="6">
        <v>2</v>
      </c>
      <c r="E33" s="6"/>
    </row>
    <row r="34" spans="1:5" ht="30.75" customHeight="1" x14ac:dyDescent="0.25">
      <c r="A34" s="5" t="s">
        <v>56</v>
      </c>
      <c r="B34" s="7" t="s">
        <v>78</v>
      </c>
      <c r="C34" s="23"/>
      <c r="D34" s="6">
        <v>1</v>
      </c>
      <c r="E34" s="6"/>
    </row>
    <row r="35" spans="1:5" ht="30.75" customHeight="1" x14ac:dyDescent="0.25">
      <c r="A35" s="5" t="s">
        <v>57</v>
      </c>
      <c r="B35" s="7" t="s">
        <v>79</v>
      </c>
      <c r="C35" s="23"/>
      <c r="D35" s="6">
        <v>1</v>
      </c>
      <c r="E35" s="6"/>
    </row>
    <row r="36" spans="1:5" ht="30.75" customHeight="1" x14ac:dyDescent="0.25">
      <c r="A36" s="5" t="s">
        <v>58</v>
      </c>
      <c r="B36" s="7" t="s">
        <v>80</v>
      </c>
      <c r="C36" s="23"/>
      <c r="D36" s="6">
        <v>2</v>
      </c>
      <c r="E36" s="6"/>
    </row>
    <row r="37" spans="1:5" ht="30.75" customHeight="1" x14ac:dyDescent="0.25">
      <c r="A37" s="5" t="s">
        <v>59</v>
      </c>
      <c r="B37" s="7" t="s">
        <v>81</v>
      </c>
      <c r="C37" s="23"/>
      <c r="D37" s="6">
        <v>1</v>
      </c>
      <c r="E37" s="6"/>
    </row>
    <row r="38" spans="1:5" ht="30.75" customHeight="1" x14ac:dyDescent="0.25">
      <c r="A38" s="5" t="s">
        <v>60</v>
      </c>
      <c r="B38" s="7" t="s">
        <v>82</v>
      </c>
      <c r="C38" s="23"/>
      <c r="D38" s="6">
        <v>1</v>
      </c>
      <c r="E38" s="6"/>
    </row>
    <row r="39" spans="1:5" ht="30.75" customHeight="1" x14ac:dyDescent="0.25">
      <c r="A39" s="5" t="s">
        <v>61</v>
      </c>
      <c r="B39" s="7" t="s">
        <v>83</v>
      </c>
      <c r="C39" s="23"/>
      <c r="D39" s="6">
        <v>1</v>
      </c>
      <c r="E39" s="6"/>
    </row>
    <row r="40" spans="1:5" ht="30.75" customHeight="1" x14ac:dyDescent="0.25">
      <c r="A40" s="5" t="s">
        <v>62</v>
      </c>
      <c r="B40" s="7" t="s">
        <v>84</v>
      </c>
      <c r="C40" s="23"/>
      <c r="D40" s="6">
        <v>1</v>
      </c>
      <c r="E40" s="6"/>
    </row>
    <row r="41" spans="1:5" ht="30.75" customHeight="1" x14ac:dyDescent="0.25">
      <c r="A41" s="5" t="s">
        <v>63</v>
      </c>
      <c r="B41" s="7" t="s">
        <v>85</v>
      </c>
      <c r="C41" s="23"/>
      <c r="D41" s="6">
        <v>3</v>
      </c>
      <c r="E41" s="6"/>
    </row>
    <row r="42" spans="1:5" ht="30.75" customHeight="1" x14ac:dyDescent="0.25">
      <c r="A42" s="5" t="s">
        <v>64</v>
      </c>
      <c r="B42" s="7" t="s">
        <v>86</v>
      </c>
      <c r="C42" s="23"/>
      <c r="D42" s="6">
        <v>1</v>
      </c>
      <c r="E42" s="6"/>
    </row>
    <row r="43" spans="1:5" ht="30.75" customHeight="1" x14ac:dyDescent="0.25">
      <c r="A43" s="5" t="s">
        <v>65</v>
      </c>
      <c r="B43" s="7" t="s">
        <v>87</v>
      </c>
      <c r="C43" s="23"/>
      <c r="D43" s="6">
        <v>1</v>
      </c>
      <c r="E43" s="6"/>
    </row>
    <row r="44" spans="1:5" ht="30.75" customHeight="1" x14ac:dyDescent="0.25">
      <c r="A44" s="5" t="s">
        <v>66</v>
      </c>
      <c r="B44" s="7" t="s">
        <v>88</v>
      </c>
      <c r="C44" s="23"/>
      <c r="D44" s="6">
        <v>2</v>
      </c>
      <c r="E44" s="6"/>
    </row>
    <row r="45" spans="1:5" ht="30.75" customHeight="1" x14ac:dyDescent="0.25">
      <c r="A45" s="5" t="s">
        <v>67</v>
      </c>
      <c r="B45" s="7" t="s">
        <v>89</v>
      </c>
      <c r="C45" s="23"/>
      <c r="D45" s="6">
        <v>2</v>
      </c>
      <c r="E45" s="6"/>
    </row>
    <row r="46" spans="1:5" ht="30.75" customHeight="1" x14ac:dyDescent="0.25">
      <c r="A46" s="5" t="s">
        <v>68</v>
      </c>
      <c r="B46" s="7" t="s">
        <v>90</v>
      </c>
      <c r="C46" s="23"/>
      <c r="D46" s="6">
        <v>3</v>
      </c>
      <c r="E46" s="6"/>
    </row>
    <row r="47" spans="1:5" ht="30.75" customHeight="1" x14ac:dyDescent="0.25">
      <c r="A47" s="5" t="s">
        <v>69</v>
      </c>
      <c r="B47" s="7" t="s">
        <v>91</v>
      </c>
      <c r="C47" s="23"/>
      <c r="D47" s="6">
        <v>3</v>
      </c>
      <c r="E47" s="6"/>
    </row>
    <row r="48" spans="1:5" ht="30.75" customHeight="1" x14ac:dyDescent="0.25">
      <c r="A48" s="5" t="s">
        <v>70</v>
      </c>
      <c r="B48" s="7" t="s">
        <v>92</v>
      </c>
      <c r="C48" s="23"/>
      <c r="D48" s="6">
        <v>3</v>
      </c>
      <c r="E48" s="6"/>
    </row>
    <row r="49" spans="1:10" ht="30.75" customHeight="1" x14ac:dyDescent="0.25">
      <c r="A49" s="5" t="s">
        <v>71</v>
      </c>
      <c r="B49" s="7" t="s">
        <v>93</v>
      </c>
      <c r="C49" s="23"/>
      <c r="D49" s="6">
        <v>3</v>
      </c>
      <c r="E49" s="6"/>
    </row>
    <row r="50" spans="1:10" x14ac:dyDescent="0.25">
      <c r="A50" s="31" t="s">
        <v>95</v>
      </c>
      <c r="B50" s="31"/>
      <c r="C50" s="31"/>
      <c r="D50" s="31"/>
      <c r="E50" s="31"/>
      <c r="J50" s="38"/>
    </row>
    <row r="51" spans="1:10" x14ac:dyDescent="0.25">
      <c r="A51" s="32" t="s">
        <v>163</v>
      </c>
      <c r="B51" s="32"/>
      <c r="C51" s="32"/>
      <c r="D51" s="32"/>
      <c r="E51" s="32"/>
    </row>
    <row r="52" spans="1:10" ht="15.75" x14ac:dyDescent="0.25">
      <c r="A52" s="9" t="s">
        <v>4</v>
      </c>
      <c r="B52" s="9" t="s">
        <v>5</v>
      </c>
      <c r="C52" s="9" t="s">
        <v>6</v>
      </c>
      <c r="D52" s="9" t="s">
        <v>7</v>
      </c>
      <c r="E52" s="9" t="s">
        <v>8</v>
      </c>
    </row>
    <row r="53" spans="1:10" ht="49.5" customHeight="1" x14ac:dyDescent="0.25">
      <c r="A53" s="9"/>
      <c r="B53" s="12" t="s">
        <v>96</v>
      </c>
      <c r="C53" s="9"/>
      <c r="D53" s="9">
        <v>2</v>
      </c>
      <c r="E53" s="9"/>
    </row>
    <row r="54" spans="1:10" ht="36" customHeight="1" x14ac:dyDescent="0.25">
      <c r="A54" s="9"/>
      <c r="B54" s="12" t="s">
        <v>157</v>
      </c>
      <c r="C54" s="9"/>
      <c r="D54" s="9">
        <v>2</v>
      </c>
      <c r="E54" s="9"/>
    </row>
    <row r="55" spans="1:10" ht="60" x14ac:dyDescent="0.25">
      <c r="A55" s="9"/>
      <c r="B55" s="12" t="s">
        <v>158</v>
      </c>
      <c r="C55" s="9"/>
      <c r="D55" s="9">
        <v>2</v>
      </c>
      <c r="E55" s="9"/>
    </row>
    <row r="56" spans="1:10" ht="45.75" customHeight="1" x14ac:dyDescent="0.25">
      <c r="A56" s="9"/>
      <c r="B56" s="12" t="s">
        <v>159</v>
      </c>
      <c r="C56" s="9"/>
      <c r="D56" s="9">
        <v>2</v>
      </c>
      <c r="E56" s="9"/>
    </row>
    <row r="57" spans="1:10" ht="52.5" customHeight="1" x14ac:dyDescent="0.25">
      <c r="A57" s="9"/>
      <c r="B57" s="12" t="s">
        <v>160</v>
      </c>
      <c r="C57" s="9"/>
      <c r="D57" s="9">
        <v>2</v>
      </c>
      <c r="E57" s="9"/>
    </row>
    <row r="58" spans="1:10" ht="114" customHeight="1" x14ac:dyDescent="0.25">
      <c r="A58" s="9"/>
      <c r="B58" s="12" t="s">
        <v>161</v>
      </c>
      <c r="C58" s="9"/>
      <c r="D58" s="9">
        <v>2</v>
      </c>
      <c r="E58" s="9"/>
    </row>
    <row r="59" spans="1:10" ht="116.25" customHeight="1" x14ac:dyDescent="0.25">
      <c r="A59" s="9"/>
      <c r="B59" s="12" t="s">
        <v>162</v>
      </c>
      <c r="C59" s="9"/>
      <c r="D59" s="9">
        <v>1</v>
      </c>
      <c r="E59" s="9"/>
    </row>
    <row r="60" spans="1:10" ht="66" customHeight="1" x14ac:dyDescent="0.25">
      <c r="A60" s="6"/>
      <c r="B60" s="7" t="s">
        <v>97</v>
      </c>
      <c r="C60" s="34" t="s">
        <v>110</v>
      </c>
      <c r="D60" s="9">
        <v>1</v>
      </c>
      <c r="E60" s="6"/>
    </row>
    <row r="61" spans="1:10" ht="72.75" customHeight="1" x14ac:dyDescent="0.25">
      <c r="A61" s="6"/>
      <c r="B61" s="7" t="s">
        <v>98</v>
      </c>
      <c r="C61" s="34"/>
      <c r="D61" s="9">
        <v>1</v>
      </c>
      <c r="E61" s="6"/>
    </row>
    <row r="62" spans="1:10" ht="30" x14ac:dyDescent="0.25">
      <c r="A62" s="6"/>
      <c r="B62" s="7" t="s">
        <v>99</v>
      </c>
      <c r="C62" s="34"/>
      <c r="D62" s="9">
        <v>1</v>
      </c>
      <c r="E62" s="6"/>
    </row>
    <row r="63" spans="1:10" ht="120" x14ac:dyDescent="0.25">
      <c r="A63" s="6"/>
      <c r="B63" s="7" t="s">
        <v>100</v>
      </c>
      <c r="C63" s="34"/>
      <c r="D63" s="9">
        <v>1</v>
      </c>
      <c r="E63" s="6"/>
    </row>
    <row r="64" spans="1:10" ht="30" x14ac:dyDescent="0.25">
      <c r="A64" s="6"/>
      <c r="B64" s="7" t="s">
        <v>101</v>
      </c>
      <c r="C64" s="34"/>
      <c r="D64" s="6">
        <v>3</v>
      </c>
      <c r="E64" s="6"/>
    </row>
    <row r="65" spans="1:5" ht="45" x14ac:dyDescent="0.25">
      <c r="A65" s="6"/>
      <c r="B65" s="7" t="s">
        <v>102</v>
      </c>
      <c r="C65" s="34"/>
      <c r="D65" s="6">
        <v>3</v>
      </c>
      <c r="E65" s="6"/>
    </row>
    <row r="66" spans="1:5" ht="21.75" customHeight="1" x14ac:dyDescent="0.25">
      <c r="A66" s="6"/>
      <c r="B66" s="7" t="s">
        <v>103</v>
      </c>
      <c r="C66" s="34"/>
      <c r="D66" s="6">
        <v>3</v>
      </c>
      <c r="E66" s="6"/>
    </row>
    <row r="67" spans="1:5" ht="54" customHeight="1" x14ac:dyDescent="0.25">
      <c r="A67" s="6"/>
      <c r="B67" s="7" t="s">
        <v>104</v>
      </c>
      <c r="C67" s="34"/>
      <c r="D67" s="6">
        <v>3</v>
      </c>
      <c r="E67" s="6"/>
    </row>
    <row r="68" spans="1:5" ht="37.5" customHeight="1" x14ac:dyDescent="0.25">
      <c r="A68" s="6"/>
      <c r="B68" s="7" t="s">
        <v>105</v>
      </c>
      <c r="C68" s="34"/>
      <c r="D68" s="6">
        <v>3</v>
      </c>
      <c r="E68" s="6"/>
    </row>
    <row r="69" spans="1:5" ht="75" x14ac:dyDescent="0.25">
      <c r="A69" s="6"/>
      <c r="B69" s="7" t="s">
        <v>106</v>
      </c>
      <c r="C69" s="34"/>
      <c r="D69" s="6">
        <v>3</v>
      </c>
      <c r="E69" s="6"/>
    </row>
    <row r="70" spans="1:5" ht="70.5" customHeight="1" x14ac:dyDescent="0.25">
      <c r="A70" s="6"/>
      <c r="B70" s="7" t="s">
        <v>107</v>
      </c>
      <c r="C70" s="34"/>
      <c r="D70" s="6">
        <v>1</v>
      </c>
      <c r="E70" s="6"/>
    </row>
    <row r="71" spans="1:5" ht="60" x14ac:dyDescent="0.25">
      <c r="A71" s="6"/>
      <c r="B71" s="7" t="s">
        <v>108</v>
      </c>
      <c r="C71" s="34"/>
      <c r="D71" s="6">
        <v>1</v>
      </c>
      <c r="E71" s="6"/>
    </row>
    <row r="72" spans="1:5" ht="189.75" customHeight="1" x14ac:dyDescent="0.25">
      <c r="A72" s="6"/>
      <c r="B72" s="13" t="s">
        <v>109</v>
      </c>
      <c r="C72" s="33"/>
      <c r="D72" s="33"/>
      <c r="E72" s="33"/>
    </row>
    <row r="73" spans="1:5" x14ac:dyDescent="0.25">
      <c r="A73" s="26" t="s">
        <v>111</v>
      </c>
      <c r="B73" s="26"/>
      <c r="C73" s="26"/>
      <c r="D73" s="26"/>
      <c r="E73" s="26"/>
    </row>
    <row r="74" spans="1:5" ht="15.75" x14ac:dyDescent="0.25">
      <c r="A74" s="14" t="s">
        <v>4</v>
      </c>
      <c r="B74" s="14" t="s">
        <v>5</v>
      </c>
      <c r="C74" s="14" t="s">
        <v>6</v>
      </c>
      <c r="D74" s="14" t="s">
        <v>7</v>
      </c>
      <c r="E74" s="14" t="s">
        <v>8</v>
      </c>
    </row>
    <row r="75" spans="1:5" ht="21" customHeight="1" x14ac:dyDescent="0.25">
      <c r="A75" s="5" t="s">
        <v>112</v>
      </c>
      <c r="B75" s="5" t="s">
        <v>120</v>
      </c>
      <c r="C75" s="23" t="s">
        <v>94</v>
      </c>
      <c r="D75" s="6">
        <v>1</v>
      </c>
      <c r="E75" s="6"/>
    </row>
    <row r="76" spans="1:5" ht="21" customHeight="1" x14ac:dyDescent="0.25">
      <c r="A76" s="5" t="s">
        <v>113</v>
      </c>
      <c r="B76" s="5" t="s">
        <v>121</v>
      </c>
      <c r="C76" s="23"/>
      <c r="D76" s="6">
        <v>1</v>
      </c>
      <c r="E76" s="6"/>
    </row>
    <row r="77" spans="1:5" ht="21" customHeight="1" x14ac:dyDescent="0.25">
      <c r="A77" s="5" t="s">
        <v>114</v>
      </c>
      <c r="B77" s="5" t="s">
        <v>122</v>
      </c>
      <c r="C77" s="23"/>
      <c r="D77" s="6">
        <v>1</v>
      </c>
      <c r="E77" s="6"/>
    </row>
    <row r="78" spans="1:5" ht="21" customHeight="1" x14ac:dyDescent="0.25">
      <c r="A78" s="5" t="s">
        <v>115</v>
      </c>
      <c r="B78" s="5" t="s">
        <v>123</v>
      </c>
      <c r="C78" s="23"/>
      <c r="D78" s="6">
        <v>1</v>
      </c>
      <c r="E78" s="6"/>
    </row>
    <row r="79" spans="1:5" ht="21" customHeight="1" x14ac:dyDescent="0.25">
      <c r="A79" s="5" t="s">
        <v>116</v>
      </c>
      <c r="B79" s="5" t="s">
        <v>124</v>
      </c>
      <c r="C79" s="23"/>
      <c r="D79" s="6">
        <v>1</v>
      </c>
      <c r="E79" s="6"/>
    </row>
    <row r="80" spans="1:5" ht="21" customHeight="1" x14ac:dyDescent="0.25">
      <c r="A80" s="5" t="s">
        <v>117</v>
      </c>
      <c r="B80" s="5" t="s">
        <v>125</v>
      </c>
      <c r="C80" s="23"/>
      <c r="D80" s="6">
        <v>1</v>
      </c>
      <c r="E80" s="6"/>
    </row>
    <row r="81" spans="1:5" ht="21" customHeight="1" x14ac:dyDescent="0.25">
      <c r="A81" s="5" t="s">
        <v>118</v>
      </c>
      <c r="B81" s="5" t="s">
        <v>126</v>
      </c>
      <c r="C81" s="23"/>
      <c r="D81" s="6">
        <v>1</v>
      </c>
      <c r="E81" s="6"/>
    </row>
    <row r="82" spans="1:5" ht="21" customHeight="1" x14ac:dyDescent="0.25">
      <c r="A82" s="5" t="s">
        <v>119</v>
      </c>
      <c r="B82" s="5" t="s">
        <v>127</v>
      </c>
      <c r="C82" s="23"/>
      <c r="D82" s="6">
        <v>1</v>
      </c>
      <c r="E82" s="6"/>
    </row>
    <row r="83" spans="1:5" ht="21" customHeight="1" x14ac:dyDescent="0.25">
      <c r="A83" s="5" t="s">
        <v>128</v>
      </c>
      <c r="B83" s="15" t="s">
        <v>129</v>
      </c>
      <c r="C83" s="23"/>
      <c r="D83" s="6">
        <v>1</v>
      </c>
      <c r="E83" s="6"/>
    </row>
    <row r="84" spans="1:5" ht="15" customHeight="1" x14ac:dyDescent="0.25">
      <c r="A84" s="27" t="s">
        <v>130</v>
      </c>
      <c r="B84" s="27"/>
      <c r="C84" s="27"/>
      <c r="D84" s="27"/>
      <c r="E84" s="27"/>
    </row>
    <row r="85" spans="1:5" ht="15.75" x14ac:dyDescent="0.25">
      <c r="A85" s="9" t="s">
        <v>4</v>
      </c>
      <c r="B85" s="9" t="s">
        <v>5</v>
      </c>
      <c r="C85" s="9" t="s">
        <v>6</v>
      </c>
      <c r="D85" s="9" t="s">
        <v>7</v>
      </c>
      <c r="E85" s="9" t="s">
        <v>8</v>
      </c>
    </row>
    <row r="86" spans="1:5" ht="18.75" customHeight="1" x14ac:dyDescent="0.25">
      <c r="A86" s="8" t="s">
        <v>131</v>
      </c>
      <c r="B86" s="5" t="s">
        <v>144</v>
      </c>
      <c r="C86" s="23" t="s">
        <v>94</v>
      </c>
      <c r="D86" s="6">
        <v>2</v>
      </c>
      <c r="E86" s="6"/>
    </row>
    <row r="87" spans="1:5" ht="18.75" customHeight="1" x14ac:dyDescent="0.25">
      <c r="A87" s="8" t="s">
        <v>132</v>
      </c>
      <c r="B87" s="5" t="s">
        <v>145</v>
      </c>
      <c r="C87" s="23"/>
      <c r="D87" s="6">
        <v>1</v>
      </c>
      <c r="E87" s="6"/>
    </row>
    <row r="88" spans="1:5" ht="18.75" customHeight="1" x14ac:dyDescent="0.25">
      <c r="A88" s="8" t="s">
        <v>133</v>
      </c>
      <c r="B88" s="5" t="s">
        <v>146</v>
      </c>
      <c r="C88" s="23"/>
      <c r="D88" s="6">
        <v>2</v>
      </c>
      <c r="E88" s="6"/>
    </row>
    <row r="89" spans="1:5" ht="18.75" customHeight="1" x14ac:dyDescent="0.25">
      <c r="A89" s="8" t="s">
        <v>134</v>
      </c>
      <c r="B89" s="5" t="s">
        <v>147</v>
      </c>
      <c r="C89" s="23"/>
      <c r="D89" s="6">
        <v>1</v>
      </c>
      <c r="E89" s="6"/>
    </row>
    <row r="90" spans="1:5" ht="18.75" customHeight="1" x14ac:dyDescent="0.25">
      <c r="A90" s="8" t="s">
        <v>135</v>
      </c>
      <c r="B90" s="5" t="s">
        <v>148</v>
      </c>
      <c r="C90" s="23"/>
      <c r="D90" s="6">
        <v>2</v>
      </c>
      <c r="E90" s="6"/>
    </row>
    <row r="91" spans="1:5" ht="18.75" customHeight="1" x14ac:dyDescent="0.25">
      <c r="A91" s="8" t="s">
        <v>136</v>
      </c>
      <c r="B91" s="5" t="s">
        <v>149</v>
      </c>
      <c r="C91" s="23"/>
      <c r="D91" s="6">
        <v>1</v>
      </c>
      <c r="E91" s="6"/>
    </row>
    <row r="92" spans="1:5" ht="18.75" customHeight="1" x14ac:dyDescent="0.25">
      <c r="A92" s="8" t="s">
        <v>137</v>
      </c>
      <c r="B92" s="5" t="s">
        <v>150</v>
      </c>
      <c r="C92" s="23"/>
      <c r="D92" s="6">
        <v>2</v>
      </c>
      <c r="E92" s="6"/>
    </row>
    <row r="93" spans="1:5" ht="18.75" customHeight="1" x14ac:dyDescent="0.25">
      <c r="A93" s="8" t="s">
        <v>138</v>
      </c>
      <c r="B93" s="5" t="s">
        <v>151</v>
      </c>
      <c r="C93" s="23"/>
      <c r="D93" s="6">
        <v>1</v>
      </c>
      <c r="E93" s="6"/>
    </row>
    <row r="94" spans="1:5" ht="18.75" customHeight="1" x14ac:dyDescent="0.25">
      <c r="A94" s="8" t="s">
        <v>139</v>
      </c>
      <c r="B94" s="5" t="s">
        <v>152</v>
      </c>
      <c r="C94" s="23"/>
      <c r="D94" s="6">
        <v>2</v>
      </c>
      <c r="E94" s="6"/>
    </row>
    <row r="95" spans="1:5" ht="18.75" customHeight="1" x14ac:dyDescent="0.25">
      <c r="A95" s="8" t="s">
        <v>140</v>
      </c>
      <c r="B95" s="5" t="s">
        <v>153</v>
      </c>
      <c r="C95" s="23"/>
      <c r="D95" s="6">
        <v>1</v>
      </c>
      <c r="E95" s="6"/>
    </row>
    <row r="96" spans="1:5" ht="18.75" customHeight="1" x14ac:dyDescent="0.25">
      <c r="A96" s="8" t="s">
        <v>141</v>
      </c>
      <c r="B96" s="5" t="s">
        <v>154</v>
      </c>
      <c r="C96" s="23"/>
      <c r="D96" s="6">
        <v>2</v>
      </c>
      <c r="E96" s="6"/>
    </row>
    <row r="97" spans="1:5" ht="18.75" customHeight="1" x14ac:dyDescent="0.25">
      <c r="A97" s="8" t="s">
        <v>142</v>
      </c>
      <c r="B97" s="5" t="s">
        <v>155</v>
      </c>
      <c r="C97" s="23"/>
      <c r="D97" s="6">
        <v>1</v>
      </c>
      <c r="E97" s="6"/>
    </row>
    <row r="98" spans="1:5" ht="18.75" customHeight="1" x14ac:dyDescent="0.25">
      <c r="A98" s="8" t="s">
        <v>143</v>
      </c>
      <c r="B98" s="5" t="s">
        <v>156</v>
      </c>
      <c r="C98" s="23"/>
      <c r="D98" s="6">
        <v>2</v>
      </c>
      <c r="E98" s="6"/>
    </row>
    <row r="99" spans="1:5" x14ac:dyDescent="0.25">
      <c r="A99" s="27" t="s">
        <v>164</v>
      </c>
      <c r="B99" s="27"/>
      <c r="C99" s="27"/>
      <c r="D99" s="27"/>
      <c r="E99" s="27"/>
    </row>
    <row r="100" spans="1:5" ht="15.75" x14ac:dyDescent="0.25">
      <c r="A100" s="14" t="s">
        <v>4</v>
      </c>
      <c r="B100" s="14" t="s">
        <v>5</v>
      </c>
      <c r="C100" s="14" t="s">
        <v>6</v>
      </c>
      <c r="D100" s="14" t="s">
        <v>7</v>
      </c>
      <c r="E100" s="14" t="s">
        <v>8</v>
      </c>
    </row>
    <row r="101" spans="1:5" ht="24" customHeight="1" x14ac:dyDescent="0.25">
      <c r="A101" s="5" t="s">
        <v>165</v>
      </c>
      <c r="B101" s="5" t="s">
        <v>172</v>
      </c>
      <c r="C101" s="23" t="s">
        <v>94</v>
      </c>
      <c r="D101" s="6">
        <v>1</v>
      </c>
      <c r="E101" s="6"/>
    </row>
    <row r="102" spans="1:5" ht="24" customHeight="1" x14ac:dyDescent="0.25">
      <c r="A102" s="5" t="s">
        <v>166</v>
      </c>
      <c r="B102" s="5" t="s">
        <v>173</v>
      </c>
      <c r="C102" s="23"/>
      <c r="D102" s="6">
        <v>2</v>
      </c>
      <c r="E102" s="6"/>
    </row>
    <row r="103" spans="1:5" ht="24" customHeight="1" x14ac:dyDescent="0.25">
      <c r="A103" s="5" t="s">
        <v>167</v>
      </c>
      <c r="B103" s="5" t="s">
        <v>174</v>
      </c>
      <c r="C103" s="23"/>
      <c r="D103" s="6">
        <v>3</v>
      </c>
      <c r="E103" s="6"/>
    </row>
    <row r="104" spans="1:5" ht="24" customHeight="1" x14ac:dyDescent="0.25">
      <c r="A104" s="5" t="s">
        <v>168</v>
      </c>
      <c r="B104" s="5" t="s">
        <v>175</v>
      </c>
      <c r="C104" s="23"/>
      <c r="D104" s="6">
        <v>2</v>
      </c>
      <c r="E104" s="6"/>
    </row>
    <row r="105" spans="1:5" ht="24" customHeight="1" x14ac:dyDescent="0.25">
      <c r="A105" s="5" t="s">
        <v>169</v>
      </c>
      <c r="B105" s="5" t="s">
        <v>176</v>
      </c>
      <c r="C105" s="23"/>
      <c r="D105" s="6">
        <v>1</v>
      </c>
      <c r="E105" s="6"/>
    </row>
    <row r="106" spans="1:5" ht="24" customHeight="1" x14ac:dyDescent="0.25">
      <c r="A106" s="5" t="s">
        <v>170</v>
      </c>
      <c r="B106" s="5" t="s">
        <v>177</v>
      </c>
      <c r="C106" s="23"/>
      <c r="D106" s="6">
        <v>3</v>
      </c>
      <c r="E106" s="6"/>
    </row>
    <row r="107" spans="1:5" ht="32.25" customHeight="1" x14ac:dyDescent="0.25">
      <c r="A107" s="5" t="s">
        <v>171</v>
      </c>
      <c r="B107" s="5" t="s">
        <v>178</v>
      </c>
      <c r="C107" s="23"/>
      <c r="D107" s="6">
        <v>1</v>
      </c>
      <c r="E107" s="6"/>
    </row>
    <row r="108" spans="1:5" x14ac:dyDescent="0.25">
      <c r="A108" s="27" t="s">
        <v>179</v>
      </c>
      <c r="B108" s="27"/>
      <c r="C108" s="27"/>
      <c r="D108" s="27"/>
      <c r="E108" s="27"/>
    </row>
    <row r="109" spans="1:5" ht="15.75" x14ac:dyDescent="0.25">
      <c r="A109" s="14" t="s">
        <v>4</v>
      </c>
      <c r="B109" s="14" t="s">
        <v>5</v>
      </c>
      <c r="C109" s="14" t="s">
        <v>6</v>
      </c>
      <c r="D109" s="14" t="s">
        <v>7</v>
      </c>
      <c r="E109" s="14" t="s">
        <v>8</v>
      </c>
    </row>
    <row r="110" spans="1:5" ht="26.25" customHeight="1" x14ac:dyDescent="0.25">
      <c r="A110" s="15" t="s">
        <v>204</v>
      </c>
      <c r="B110" s="5" t="s">
        <v>180</v>
      </c>
      <c r="C110" s="23" t="s">
        <v>94</v>
      </c>
      <c r="D110" s="6">
        <v>1</v>
      </c>
      <c r="E110" s="6"/>
    </row>
    <row r="111" spans="1:5" ht="31.5" customHeight="1" x14ac:dyDescent="0.25">
      <c r="A111" s="15" t="s">
        <v>205</v>
      </c>
      <c r="B111" s="5" t="s">
        <v>181</v>
      </c>
      <c r="C111" s="23"/>
      <c r="D111" s="6">
        <v>2</v>
      </c>
      <c r="E111" s="6"/>
    </row>
    <row r="112" spans="1:5" ht="26.25" customHeight="1" x14ac:dyDescent="0.25">
      <c r="A112" s="15" t="s">
        <v>206</v>
      </c>
      <c r="B112" s="5" t="s">
        <v>182</v>
      </c>
      <c r="C112" s="23"/>
      <c r="D112" s="6">
        <v>3</v>
      </c>
      <c r="E112" s="6"/>
    </row>
    <row r="113" spans="1:5" ht="31.5" customHeight="1" x14ac:dyDescent="0.25">
      <c r="A113" s="15" t="s">
        <v>207</v>
      </c>
      <c r="B113" s="5" t="s">
        <v>183</v>
      </c>
      <c r="C113" s="23"/>
      <c r="D113" s="6">
        <v>2</v>
      </c>
      <c r="E113" s="6"/>
    </row>
    <row r="114" spans="1:5" ht="26.25" customHeight="1" x14ac:dyDescent="0.25">
      <c r="A114" s="15" t="s">
        <v>208</v>
      </c>
      <c r="B114" s="5" t="s">
        <v>184</v>
      </c>
      <c r="C114" s="23"/>
      <c r="D114" s="6">
        <v>2</v>
      </c>
      <c r="E114" s="6"/>
    </row>
    <row r="115" spans="1:5" ht="26.25" customHeight="1" x14ac:dyDescent="0.25">
      <c r="A115" s="15" t="s">
        <v>209</v>
      </c>
      <c r="B115" s="5" t="s">
        <v>185</v>
      </c>
      <c r="C115" s="23"/>
      <c r="D115" s="6">
        <v>1</v>
      </c>
      <c r="E115" s="6"/>
    </row>
    <row r="116" spans="1:5" ht="26.25" customHeight="1" x14ac:dyDescent="0.25">
      <c r="A116" s="15" t="s">
        <v>210</v>
      </c>
      <c r="B116" s="5" t="s">
        <v>186</v>
      </c>
      <c r="C116" s="23"/>
      <c r="D116" s="6">
        <v>2</v>
      </c>
      <c r="E116" s="6"/>
    </row>
    <row r="117" spans="1:5" ht="26.25" customHeight="1" x14ac:dyDescent="0.25">
      <c r="A117" s="15" t="s">
        <v>211</v>
      </c>
      <c r="B117" s="5" t="s">
        <v>187</v>
      </c>
      <c r="C117" s="23"/>
      <c r="D117" s="6">
        <v>1</v>
      </c>
      <c r="E117" s="6"/>
    </row>
    <row r="118" spans="1:5" ht="26.25" customHeight="1" x14ac:dyDescent="0.25">
      <c r="A118" s="15" t="s">
        <v>212</v>
      </c>
      <c r="B118" s="5" t="s">
        <v>188</v>
      </c>
      <c r="C118" s="23"/>
      <c r="D118" s="6">
        <v>2</v>
      </c>
      <c r="E118" s="6"/>
    </row>
    <row r="119" spans="1:5" ht="26.25" customHeight="1" x14ac:dyDescent="0.25">
      <c r="A119" s="15" t="s">
        <v>213</v>
      </c>
      <c r="B119" s="5" t="s">
        <v>189</v>
      </c>
      <c r="C119" s="23"/>
      <c r="D119" s="6">
        <v>3</v>
      </c>
      <c r="E119" s="6"/>
    </row>
    <row r="120" spans="1:5" ht="26.25" customHeight="1" x14ac:dyDescent="0.25">
      <c r="A120" s="15" t="s">
        <v>214</v>
      </c>
      <c r="B120" s="5" t="s">
        <v>190</v>
      </c>
      <c r="C120" s="23"/>
      <c r="D120" s="6">
        <v>1</v>
      </c>
      <c r="E120" s="6"/>
    </row>
    <row r="121" spans="1:5" ht="30" customHeight="1" x14ac:dyDescent="0.25">
      <c r="A121" s="15" t="s">
        <v>215</v>
      </c>
      <c r="B121" s="5" t="s">
        <v>191</v>
      </c>
      <c r="C121" s="23"/>
      <c r="D121" s="6">
        <v>2</v>
      </c>
      <c r="E121" s="6"/>
    </row>
    <row r="122" spans="1:5" ht="31.5" customHeight="1" x14ac:dyDescent="0.25">
      <c r="A122" s="15" t="s">
        <v>216</v>
      </c>
      <c r="B122" s="5" t="s">
        <v>192</v>
      </c>
      <c r="C122" s="23"/>
      <c r="D122" s="6">
        <v>3</v>
      </c>
      <c r="E122" s="6"/>
    </row>
    <row r="123" spans="1:5" ht="26.25" customHeight="1" x14ac:dyDescent="0.25">
      <c r="A123" s="15" t="s">
        <v>217</v>
      </c>
      <c r="B123" s="5" t="s">
        <v>193</v>
      </c>
      <c r="C123" s="23"/>
      <c r="D123" s="6">
        <v>2</v>
      </c>
      <c r="E123" s="6"/>
    </row>
    <row r="124" spans="1:5" ht="26.25" customHeight="1" x14ac:dyDescent="0.25">
      <c r="A124" s="15" t="s">
        <v>218</v>
      </c>
      <c r="B124" s="5" t="s">
        <v>194</v>
      </c>
      <c r="C124" s="23"/>
      <c r="D124" s="6">
        <v>1</v>
      </c>
      <c r="E124" s="6"/>
    </row>
    <row r="125" spans="1:5" ht="26.25" customHeight="1" x14ac:dyDescent="0.25">
      <c r="A125" s="15" t="s">
        <v>219</v>
      </c>
      <c r="B125" s="5" t="s">
        <v>195</v>
      </c>
      <c r="C125" s="23"/>
      <c r="D125" s="6">
        <v>2</v>
      </c>
      <c r="E125" s="6"/>
    </row>
    <row r="126" spans="1:5" ht="26.25" customHeight="1" x14ac:dyDescent="0.25">
      <c r="A126" s="15" t="s">
        <v>220</v>
      </c>
      <c r="B126" s="5" t="s">
        <v>196</v>
      </c>
      <c r="C126" s="23"/>
      <c r="D126" s="6">
        <v>3</v>
      </c>
      <c r="E126" s="6"/>
    </row>
    <row r="127" spans="1:5" ht="26.25" customHeight="1" x14ac:dyDescent="0.25">
      <c r="A127" s="15" t="s">
        <v>221</v>
      </c>
      <c r="B127" s="5" t="s">
        <v>197</v>
      </c>
      <c r="C127" s="23"/>
      <c r="D127" s="6">
        <v>2</v>
      </c>
      <c r="E127" s="6"/>
    </row>
    <row r="128" spans="1:5" ht="26.25" customHeight="1" x14ac:dyDescent="0.25">
      <c r="A128" s="15" t="s">
        <v>222</v>
      </c>
      <c r="B128" s="5" t="s">
        <v>198</v>
      </c>
      <c r="C128" s="23"/>
      <c r="D128" s="6">
        <v>2</v>
      </c>
      <c r="E128" s="6"/>
    </row>
    <row r="129" spans="1:5" ht="26.25" customHeight="1" x14ac:dyDescent="0.25">
      <c r="A129" s="15" t="s">
        <v>223</v>
      </c>
      <c r="B129" s="5" t="s">
        <v>199</v>
      </c>
      <c r="C129" s="23"/>
      <c r="D129" s="6">
        <v>2</v>
      </c>
      <c r="E129" s="6"/>
    </row>
    <row r="130" spans="1:5" ht="26.25" customHeight="1" x14ac:dyDescent="0.25">
      <c r="A130" s="15" t="s">
        <v>224</v>
      </c>
      <c r="B130" s="5" t="s">
        <v>200</v>
      </c>
      <c r="C130" s="23"/>
      <c r="D130" s="6">
        <v>2</v>
      </c>
      <c r="E130" s="6"/>
    </row>
    <row r="131" spans="1:5" ht="26.25" customHeight="1" x14ac:dyDescent="0.25">
      <c r="A131" s="15" t="s">
        <v>225</v>
      </c>
      <c r="B131" s="5" t="s">
        <v>201</v>
      </c>
      <c r="C131" s="23"/>
      <c r="D131" s="6">
        <v>2</v>
      </c>
      <c r="E131" s="6"/>
    </row>
    <row r="132" spans="1:5" ht="26.25" customHeight="1" x14ac:dyDescent="0.25">
      <c r="A132" s="15" t="s">
        <v>226</v>
      </c>
      <c r="B132" s="5" t="s">
        <v>202</v>
      </c>
      <c r="C132" s="23"/>
      <c r="D132" s="6">
        <v>2</v>
      </c>
      <c r="E132" s="6"/>
    </row>
    <row r="133" spans="1:5" ht="26.25" customHeight="1" x14ac:dyDescent="0.25">
      <c r="A133" s="15" t="s">
        <v>227</v>
      </c>
      <c r="B133" s="5" t="s">
        <v>203</v>
      </c>
      <c r="C133" s="23"/>
      <c r="D133" s="6">
        <v>2</v>
      </c>
      <c r="E133" s="6"/>
    </row>
    <row r="136" spans="1:5" x14ac:dyDescent="0.25">
      <c r="A136" s="24" t="s">
        <v>228</v>
      </c>
      <c r="B136" s="24"/>
      <c r="C136" s="24"/>
      <c r="D136" s="24"/>
      <c r="E136" s="24"/>
    </row>
    <row r="137" spans="1:5" x14ac:dyDescent="0.25">
      <c r="A137" s="25" t="s">
        <v>229</v>
      </c>
      <c r="B137" s="25"/>
      <c r="C137" s="25"/>
      <c r="D137" s="25"/>
      <c r="E137" s="25"/>
    </row>
    <row r="138" spans="1:5" ht="15.75" x14ac:dyDescent="0.25">
      <c r="A138" s="9" t="s">
        <v>4</v>
      </c>
      <c r="B138" s="9" t="s">
        <v>5</v>
      </c>
      <c r="C138" s="9" t="s">
        <v>6</v>
      </c>
      <c r="D138" s="9" t="s">
        <v>7</v>
      </c>
      <c r="E138" s="9" t="s">
        <v>8</v>
      </c>
    </row>
    <row r="139" spans="1:5" ht="18" customHeight="1" x14ac:dyDescent="0.25">
      <c r="A139" s="6"/>
      <c r="B139" s="4" t="s">
        <v>230</v>
      </c>
      <c r="C139" s="20"/>
      <c r="D139" s="6">
        <v>2</v>
      </c>
      <c r="E139" s="6"/>
    </row>
    <row r="140" spans="1:5" ht="29.25" customHeight="1" x14ac:dyDescent="0.25">
      <c r="A140" s="6"/>
      <c r="B140" s="13" t="s">
        <v>231</v>
      </c>
      <c r="C140" s="21"/>
      <c r="D140" s="6">
        <v>5</v>
      </c>
      <c r="E140" s="6"/>
    </row>
    <row r="141" spans="1:5" ht="19.5" customHeight="1" x14ac:dyDescent="0.25">
      <c r="A141" s="6"/>
      <c r="B141" s="4" t="s">
        <v>232</v>
      </c>
      <c r="C141" s="21"/>
      <c r="D141" s="6">
        <v>2</v>
      </c>
      <c r="E141" s="6"/>
    </row>
    <row r="142" spans="1:5" ht="20.25" customHeight="1" x14ac:dyDescent="0.25">
      <c r="A142" s="6"/>
      <c r="B142" s="4" t="s">
        <v>233</v>
      </c>
      <c r="C142" s="21"/>
      <c r="D142" s="6">
        <v>3</v>
      </c>
      <c r="E142" s="6"/>
    </row>
    <row r="143" spans="1:5" ht="30.75" customHeight="1" x14ac:dyDescent="0.25">
      <c r="A143" s="6"/>
      <c r="B143" s="7" t="s">
        <v>234</v>
      </c>
      <c r="C143" s="21"/>
      <c r="D143" s="6">
        <v>4</v>
      </c>
      <c r="E143" s="6"/>
    </row>
    <row r="144" spans="1:5" ht="24.75" customHeight="1" x14ac:dyDescent="0.25">
      <c r="A144" s="6"/>
      <c r="B144" s="16" t="s">
        <v>235</v>
      </c>
      <c r="C144" s="21"/>
      <c r="D144" s="6">
        <v>2</v>
      </c>
      <c r="E144" s="6"/>
    </row>
    <row r="145" spans="1:5" ht="18.75" customHeight="1" x14ac:dyDescent="0.25">
      <c r="A145" s="6"/>
      <c r="B145" s="17" t="s">
        <v>236</v>
      </c>
      <c r="C145" s="21"/>
      <c r="D145" s="6">
        <v>2</v>
      </c>
      <c r="E145" s="6"/>
    </row>
    <row r="146" spans="1:5" ht="18.75" customHeight="1" x14ac:dyDescent="0.25">
      <c r="A146" s="6"/>
      <c r="B146" s="13" t="s">
        <v>237</v>
      </c>
      <c r="C146" s="21"/>
      <c r="D146" s="6">
        <v>2</v>
      </c>
      <c r="E146" s="6"/>
    </row>
    <row r="147" spans="1:5" ht="21" customHeight="1" x14ac:dyDescent="0.25">
      <c r="A147" s="6"/>
      <c r="B147" s="13" t="s">
        <v>238</v>
      </c>
      <c r="C147" s="21"/>
      <c r="D147" s="6">
        <v>2</v>
      </c>
      <c r="E147" s="6"/>
    </row>
    <row r="148" spans="1:5" ht="19.5" customHeight="1" x14ac:dyDescent="0.25">
      <c r="A148" s="6"/>
      <c r="B148" s="13" t="s">
        <v>239</v>
      </c>
      <c r="C148" s="21"/>
      <c r="D148" s="6">
        <v>2</v>
      </c>
      <c r="E148" s="6"/>
    </row>
    <row r="149" spans="1:5" ht="21.75" customHeight="1" x14ac:dyDescent="0.25">
      <c r="A149" s="6"/>
      <c r="B149" s="13" t="s">
        <v>240</v>
      </c>
      <c r="C149" s="21"/>
      <c r="D149" s="6">
        <v>2</v>
      </c>
      <c r="E149" s="6"/>
    </row>
    <row r="150" spans="1:5" ht="20.25" customHeight="1" x14ac:dyDescent="0.25">
      <c r="A150" s="6"/>
      <c r="B150" s="13" t="s">
        <v>241</v>
      </c>
      <c r="C150" s="21"/>
      <c r="D150" s="6">
        <v>2</v>
      </c>
      <c r="E150" s="6"/>
    </row>
    <row r="151" spans="1:5" ht="19.5" customHeight="1" x14ac:dyDescent="0.25">
      <c r="A151" s="6"/>
      <c r="B151" s="13" t="s">
        <v>240</v>
      </c>
      <c r="C151" s="21"/>
      <c r="D151" s="6">
        <v>2</v>
      </c>
      <c r="E151" s="6"/>
    </row>
    <row r="152" spans="1:5" ht="29.25" customHeight="1" x14ac:dyDescent="0.25">
      <c r="A152" s="6"/>
      <c r="B152" s="13" t="s">
        <v>242</v>
      </c>
      <c r="C152" s="21"/>
      <c r="D152" s="6">
        <v>2</v>
      </c>
      <c r="E152" s="6"/>
    </row>
    <row r="153" spans="1:5" ht="18" customHeight="1" x14ac:dyDescent="0.25">
      <c r="A153" s="6"/>
      <c r="B153" s="13" t="s">
        <v>240</v>
      </c>
      <c r="C153" s="21"/>
      <c r="D153" s="6">
        <v>2</v>
      </c>
      <c r="E153" s="6"/>
    </row>
    <row r="154" spans="1:5" ht="30.75" customHeight="1" x14ac:dyDescent="0.25">
      <c r="A154" s="6"/>
      <c r="B154" s="13" t="s">
        <v>243</v>
      </c>
      <c r="C154" s="21"/>
      <c r="D154" s="6">
        <v>3</v>
      </c>
      <c r="E154" s="6"/>
    </row>
    <row r="155" spans="1:5" ht="16.5" customHeight="1" x14ac:dyDescent="0.25">
      <c r="A155" s="6"/>
      <c r="B155" s="13" t="s">
        <v>240</v>
      </c>
      <c r="C155" s="21"/>
      <c r="D155" s="6">
        <v>2</v>
      </c>
      <c r="E155" s="6"/>
    </row>
    <row r="156" spans="1:5" ht="28.5" customHeight="1" x14ac:dyDescent="0.25">
      <c r="A156" s="6"/>
      <c r="B156" s="13" t="s">
        <v>244</v>
      </c>
      <c r="C156" s="21"/>
      <c r="D156" s="6">
        <v>1</v>
      </c>
      <c r="E156" s="6"/>
    </row>
    <row r="157" spans="1:5" ht="17.25" customHeight="1" x14ac:dyDescent="0.25">
      <c r="A157" s="6"/>
      <c r="B157" s="13" t="s">
        <v>245</v>
      </c>
      <c r="C157" s="21"/>
      <c r="D157" s="6">
        <v>2</v>
      </c>
      <c r="E157" s="6"/>
    </row>
    <row r="158" spans="1:5" ht="28.5" customHeight="1" x14ac:dyDescent="0.25">
      <c r="A158" s="6"/>
      <c r="B158" s="13" t="s">
        <v>246</v>
      </c>
      <c r="C158" s="21"/>
      <c r="D158" s="6">
        <v>3</v>
      </c>
      <c r="E158" s="6"/>
    </row>
    <row r="159" spans="1:5" ht="18" customHeight="1" x14ac:dyDescent="0.25">
      <c r="A159" s="6"/>
      <c r="B159" s="13" t="s">
        <v>247</v>
      </c>
      <c r="C159" s="21"/>
      <c r="D159" s="6">
        <v>2</v>
      </c>
      <c r="E159" s="6"/>
    </row>
    <row r="160" spans="1:5" ht="19.5" customHeight="1" x14ac:dyDescent="0.25">
      <c r="A160" s="6"/>
      <c r="B160" s="13" t="s">
        <v>248</v>
      </c>
      <c r="C160" s="21"/>
      <c r="D160" s="6">
        <v>1</v>
      </c>
      <c r="E160" s="6"/>
    </row>
    <row r="161" spans="1:5" ht="17.25" customHeight="1" x14ac:dyDescent="0.25">
      <c r="A161" s="6"/>
      <c r="B161" s="13" t="s">
        <v>249</v>
      </c>
      <c r="C161" s="21"/>
      <c r="D161" s="6">
        <v>2</v>
      </c>
      <c r="E161" s="6"/>
    </row>
    <row r="162" spans="1:5" ht="18.75" customHeight="1" x14ac:dyDescent="0.25">
      <c r="A162" s="6"/>
      <c r="B162" s="13" t="s">
        <v>250</v>
      </c>
      <c r="C162" s="21"/>
      <c r="D162" s="6">
        <v>3</v>
      </c>
      <c r="E162" s="6"/>
    </row>
    <row r="163" spans="1:5" ht="18" customHeight="1" x14ac:dyDescent="0.25">
      <c r="A163" s="6"/>
      <c r="B163" s="13" t="s">
        <v>251</v>
      </c>
      <c r="C163" s="21"/>
      <c r="D163" s="6">
        <v>2</v>
      </c>
      <c r="E163" s="6"/>
    </row>
    <row r="164" spans="1:5" ht="18.75" customHeight="1" x14ac:dyDescent="0.25">
      <c r="A164" s="6"/>
      <c r="B164" s="13" t="s">
        <v>252</v>
      </c>
      <c r="C164" s="21"/>
      <c r="D164" s="6">
        <v>2</v>
      </c>
      <c r="E164" s="6"/>
    </row>
    <row r="165" spans="1:5" ht="18" customHeight="1" x14ac:dyDescent="0.25">
      <c r="A165" s="6"/>
      <c r="B165" s="13" t="s">
        <v>253</v>
      </c>
      <c r="C165" s="21"/>
      <c r="D165" s="6">
        <v>2</v>
      </c>
      <c r="E165" s="6"/>
    </row>
    <row r="166" spans="1:5" ht="18" customHeight="1" x14ac:dyDescent="0.25">
      <c r="A166" s="6"/>
      <c r="B166" s="13" t="s">
        <v>255</v>
      </c>
      <c r="C166" s="21"/>
      <c r="D166" s="6">
        <v>2</v>
      </c>
      <c r="E166" s="6"/>
    </row>
    <row r="167" spans="1:5" ht="30" customHeight="1" x14ac:dyDescent="0.25">
      <c r="A167" s="6"/>
      <c r="B167" s="13" t="s">
        <v>256</v>
      </c>
      <c r="C167" s="21"/>
      <c r="D167" s="6">
        <v>2</v>
      </c>
      <c r="E167" s="6"/>
    </row>
    <row r="168" spans="1:5" ht="32.25" customHeight="1" x14ac:dyDescent="0.25">
      <c r="A168" s="6"/>
      <c r="B168" s="13" t="s">
        <v>257</v>
      </c>
      <c r="C168" s="22"/>
      <c r="D168" s="6">
        <v>2</v>
      </c>
      <c r="E168" s="6"/>
    </row>
    <row r="169" spans="1:5" x14ac:dyDescent="0.25">
      <c r="A169" s="27" t="s">
        <v>258</v>
      </c>
      <c r="B169" s="27"/>
      <c r="C169" s="27"/>
      <c r="D169" s="27"/>
      <c r="E169" s="27"/>
    </row>
    <row r="170" spans="1:5" ht="15.75" x14ac:dyDescent="0.25">
      <c r="A170" s="9" t="s">
        <v>4</v>
      </c>
      <c r="B170" s="9" t="s">
        <v>5</v>
      </c>
      <c r="C170" s="9" t="s">
        <v>6</v>
      </c>
      <c r="D170" s="9" t="s">
        <v>7</v>
      </c>
      <c r="E170" s="9" t="s">
        <v>8</v>
      </c>
    </row>
    <row r="171" spans="1:5" ht="37.5" customHeight="1" x14ac:dyDescent="0.25">
      <c r="A171" s="6"/>
      <c r="B171" s="13" t="s">
        <v>259</v>
      </c>
      <c r="C171" s="20"/>
      <c r="D171" s="6">
        <v>1</v>
      </c>
      <c r="E171" s="6"/>
    </row>
    <row r="172" spans="1:5" ht="37.5" customHeight="1" x14ac:dyDescent="0.25">
      <c r="A172" s="6"/>
      <c r="B172" s="13" t="s">
        <v>260</v>
      </c>
      <c r="C172" s="21"/>
      <c r="D172" s="6">
        <v>1</v>
      </c>
      <c r="E172" s="6"/>
    </row>
    <row r="173" spans="1:5" ht="37.5" customHeight="1" x14ac:dyDescent="0.25">
      <c r="A173" s="6"/>
      <c r="B173" s="13" t="s">
        <v>261</v>
      </c>
      <c r="C173" s="21"/>
      <c r="D173" s="6">
        <v>1</v>
      </c>
      <c r="E173" s="6"/>
    </row>
    <row r="174" spans="1:5" ht="37.5" customHeight="1" x14ac:dyDescent="0.25">
      <c r="A174" s="6"/>
      <c r="B174" s="13" t="s">
        <v>262</v>
      </c>
      <c r="C174" s="21"/>
      <c r="D174" s="6">
        <v>1</v>
      </c>
      <c r="E174" s="6"/>
    </row>
    <row r="175" spans="1:5" ht="37.5" customHeight="1" x14ac:dyDescent="0.25">
      <c r="A175" s="6"/>
      <c r="B175" s="13" t="s">
        <v>263</v>
      </c>
      <c r="C175" s="21"/>
      <c r="D175" s="6">
        <v>1</v>
      </c>
      <c r="E175" s="6"/>
    </row>
    <row r="176" spans="1:5" ht="37.5" customHeight="1" x14ac:dyDescent="0.25">
      <c r="A176" s="6"/>
      <c r="B176" s="13" t="s">
        <v>264</v>
      </c>
      <c r="C176" s="21"/>
      <c r="D176" s="6">
        <v>3</v>
      </c>
      <c r="E176" s="6"/>
    </row>
    <row r="177" spans="1:5" ht="37.5" customHeight="1" x14ac:dyDescent="0.25">
      <c r="A177" s="6"/>
      <c r="B177" s="13" t="s">
        <v>265</v>
      </c>
      <c r="C177" s="21"/>
      <c r="D177" s="6">
        <v>3</v>
      </c>
      <c r="E177" s="6"/>
    </row>
    <row r="178" spans="1:5" ht="32.25" customHeight="1" x14ac:dyDescent="0.25">
      <c r="A178" s="6"/>
      <c r="B178" s="13" t="s">
        <v>266</v>
      </c>
      <c r="C178" s="21"/>
      <c r="D178" s="6">
        <v>2</v>
      </c>
      <c r="E178" s="6"/>
    </row>
    <row r="179" spans="1:5" ht="32.25" customHeight="1" x14ac:dyDescent="0.25">
      <c r="A179" s="6"/>
      <c r="B179" s="13" t="s">
        <v>267</v>
      </c>
      <c r="C179" s="21"/>
      <c r="D179" s="6">
        <v>3</v>
      </c>
      <c r="E179" s="6"/>
    </row>
    <row r="180" spans="1:5" ht="32.25" customHeight="1" x14ac:dyDescent="0.25">
      <c r="A180" s="6"/>
      <c r="B180" s="13" t="s">
        <v>268</v>
      </c>
      <c r="C180" s="21"/>
      <c r="D180" s="6">
        <v>2</v>
      </c>
      <c r="E180" s="6"/>
    </row>
    <row r="181" spans="1:5" ht="32.25" customHeight="1" x14ac:dyDescent="0.25">
      <c r="A181" s="6"/>
      <c r="B181" s="13" t="s">
        <v>269</v>
      </c>
      <c r="C181" s="21"/>
      <c r="D181" s="6">
        <v>3</v>
      </c>
      <c r="E181" s="6"/>
    </row>
    <row r="182" spans="1:5" ht="37.5" customHeight="1" x14ac:dyDescent="0.25">
      <c r="A182" s="6"/>
      <c r="B182" s="13" t="s">
        <v>270</v>
      </c>
      <c r="C182" s="21"/>
      <c r="D182" s="6">
        <v>2</v>
      </c>
      <c r="E182" s="6"/>
    </row>
    <row r="183" spans="1:5" ht="29.25" customHeight="1" x14ac:dyDescent="0.25">
      <c r="A183" s="6"/>
      <c r="B183" s="13" t="s">
        <v>271</v>
      </c>
      <c r="C183" s="21"/>
      <c r="D183" s="6">
        <v>4</v>
      </c>
      <c r="E183" s="6"/>
    </row>
    <row r="184" spans="1:5" ht="37.5" customHeight="1" x14ac:dyDescent="0.25">
      <c r="A184" s="6"/>
      <c r="B184" s="13" t="s">
        <v>272</v>
      </c>
      <c r="C184" s="21"/>
      <c r="D184" s="6">
        <v>2</v>
      </c>
      <c r="E184" s="6"/>
    </row>
    <row r="185" spans="1:5" ht="37.5" customHeight="1" x14ac:dyDescent="0.25">
      <c r="A185" s="6"/>
      <c r="B185" s="13" t="s">
        <v>273</v>
      </c>
      <c r="C185" s="21"/>
      <c r="D185" s="6">
        <v>1</v>
      </c>
      <c r="E185" s="6"/>
    </row>
    <row r="186" spans="1:5" ht="37.5" customHeight="1" x14ac:dyDescent="0.25">
      <c r="A186" s="6"/>
      <c r="B186" s="13" t="s">
        <v>274</v>
      </c>
      <c r="C186" s="21"/>
      <c r="D186" s="6">
        <v>1</v>
      </c>
      <c r="E186" s="6"/>
    </row>
    <row r="187" spans="1:5" ht="37.5" customHeight="1" x14ac:dyDescent="0.25">
      <c r="A187" s="6"/>
      <c r="B187" s="13" t="s">
        <v>275</v>
      </c>
      <c r="C187" s="21"/>
      <c r="D187" s="6">
        <v>1</v>
      </c>
      <c r="E187" s="6"/>
    </row>
    <row r="188" spans="1:5" ht="27.75" customHeight="1" x14ac:dyDescent="0.25">
      <c r="A188" s="6"/>
      <c r="B188" s="13" t="s">
        <v>254</v>
      </c>
      <c r="C188" s="21"/>
      <c r="D188" s="6">
        <v>1</v>
      </c>
      <c r="E188" s="6"/>
    </row>
    <row r="189" spans="1:5" ht="37.5" customHeight="1" x14ac:dyDescent="0.25">
      <c r="A189" s="6"/>
      <c r="B189" s="13" t="s">
        <v>276</v>
      </c>
      <c r="C189" s="22"/>
      <c r="D189" s="6">
        <v>0</v>
      </c>
      <c r="E189" s="6"/>
    </row>
    <row r="190" spans="1:5" x14ac:dyDescent="0.25">
      <c r="A190" s="27" t="s">
        <v>277</v>
      </c>
      <c r="B190" s="27"/>
      <c r="C190" s="27"/>
      <c r="D190" s="27"/>
      <c r="E190" s="27"/>
    </row>
    <row r="191" spans="1:5" ht="15.75" x14ac:dyDescent="0.25">
      <c r="A191" s="14" t="s">
        <v>4</v>
      </c>
      <c r="B191" s="14" t="s">
        <v>5</v>
      </c>
      <c r="C191" s="14" t="s">
        <v>6</v>
      </c>
      <c r="D191" s="14" t="s">
        <v>7</v>
      </c>
      <c r="E191" s="14" t="s">
        <v>8</v>
      </c>
    </row>
    <row r="192" spans="1:5" ht="30" x14ac:dyDescent="0.25">
      <c r="A192" s="18" t="s">
        <v>278</v>
      </c>
      <c r="B192" s="7" t="s">
        <v>279</v>
      </c>
      <c r="C192" s="19"/>
      <c r="D192" s="6">
        <v>1</v>
      </c>
      <c r="E192" s="6"/>
    </row>
    <row r="193" spans="1:17" ht="30" x14ac:dyDescent="0.25">
      <c r="A193" s="18" t="s">
        <v>308</v>
      </c>
      <c r="B193" s="7" t="s">
        <v>280</v>
      </c>
      <c r="C193" s="19"/>
      <c r="D193" s="6">
        <v>2</v>
      </c>
      <c r="E193" s="6"/>
    </row>
    <row r="194" spans="1:17" ht="45" x14ac:dyDescent="0.25">
      <c r="A194" s="18" t="s">
        <v>309</v>
      </c>
      <c r="B194" s="7" t="s">
        <v>281</v>
      </c>
      <c r="C194" s="19"/>
      <c r="D194" s="6">
        <v>1</v>
      </c>
      <c r="E194" s="6"/>
    </row>
    <row r="195" spans="1:17" ht="30" x14ac:dyDescent="0.25">
      <c r="A195" s="18" t="s">
        <v>310</v>
      </c>
      <c r="B195" s="7" t="s">
        <v>282</v>
      </c>
      <c r="C195" s="19"/>
      <c r="D195" s="6">
        <v>3</v>
      </c>
      <c r="E195" s="6"/>
    </row>
    <row r="196" spans="1:17" ht="30" x14ac:dyDescent="0.25">
      <c r="A196" s="18" t="s">
        <v>311</v>
      </c>
      <c r="B196" s="7" t="s">
        <v>283</v>
      </c>
      <c r="C196" s="19"/>
      <c r="D196" s="6">
        <v>2</v>
      </c>
      <c r="E196" s="6"/>
    </row>
    <row r="197" spans="1:17" x14ac:dyDescent="0.25">
      <c r="A197" s="18" t="s">
        <v>312</v>
      </c>
      <c r="B197" s="7" t="s">
        <v>284</v>
      </c>
      <c r="C197" s="19"/>
      <c r="D197" s="6">
        <v>1</v>
      </c>
      <c r="E197" s="6"/>
    </row>
    <row r="198" spans="1:17" ht="30" x14ac:dyDescent="0.25">
      <c r="A198" s="18" t="s">
        <v>313</v>
      </c>
      <c r="B198" s="7" t="s">
        <v>285</v>
      </c>
      <c r="C198" s="19"/>
      <c r="D198" s="6">
        <v>2</v>
      </c>
      <c r="E198" s="6"/>
    </row>
    <row r="199" spans="1:17" x14ac:dyDescent="0.25">
      <c r="A199" s="18" t="s">
        <v>314</v>
      </c>
      <c r="B199" s="7" t="s">
        <v>286</v>
      </c>
      <c r="C199" s="19"/>
      <c r="D199" s="6">
        <v>1</v>
      </c>
      <c r="E199" s="6"/>
      <c r="Q199" t="s">
        <v>337</v>
      </c>
    </row>
    <row r="200" spans="1:17" x14ac:dyDescent="0.25">
      <c r="A200" s="18" t="s">
        <v>315</v>
      </c>
      <c r="B200" s="7" t="s">
        <v>287</v>
      </c>
      <c r="C200" s="19"/>
      <c r="D200" s="6">
        <v>1</v>
      </c>
      <c r="E200" s="6"/>
    </row>
    <row r="201" spans="1:17" x14ac:dyDescent="0.25">
      <c r="A201" s="18" t="s">
        <v>316</v>
      </c>
      <c r="B201" s="7" t="s">
        <v>288</v>
      </c>
      <c r="C201" s="19"/>
      <c r="D201" s="6">
        <v>2</v>
      </c>
      <c r="E201" s="6"/>
    </row>
    <row r="202" spans="1:17" ht="30" x14ac:dyDescent="0.25">
      <c r="A202" s="18" t="s">
        <v>317</v>
      </c>
      <c r="B202" s="7" t="s">
        <v>289</v>
      </c>
      <c r="C202" s="19"/>
      <c r="D202" s="6">
        <v>2</v>
      </c>
      <c r="E202" s="6"/>
    </row>
    <row r="203" spans="1:17" ht="45" x14ac:dyDescent="0.25">
      <c r="A203" s="18" t="s">
        <v>318</v>
      </c>
      <c r="B203" s="7" t="s">
        <v>290</v>
      </c>
      <c r="C203" s="19"/>
      <c r="D203" s="6">
        <v>1</v>
      </c>
      <c r="E203" s="6"/>
    </row>
    <row r="204" spans="1:17" x14ac:dyDescent="0.25">
      <c r="A204" s="18" t="s">
        <v>319</v>
      </c>
      <c r="B204" s="7" t="s">
        <v>291</v>
      </c>
      <c r="C204" s="19"/>
      <c r="D204" s="6">
        <v>2</v>
      </c>
      <c r="E204" s="6"/>
    </row>
    <row r="205" spans="1:17" x14ac:dyDescent="0.25">
      <c r="A205" s="18" t="s">
        <v>320</v>
      </c>
      <c r="B205" s="7" t="s">
        <v>292</v>
      </c>
      <c r="C205" s="19"/>
      <c r="D205" s="6">
        <v>3</v>
      </c>
      <c r="E205" s="6"/>
    </row>
    <row r="206" spans="1:17" x14ac:dyDescent="0.25">
      <c r="A206" s="18" t="s">
        <v>321</v>
      </c>
      <c r="B206" s="7" t="s">
        <v>293</v>
      </c>
      <c r="C206" s="19"/>
      <c r="D206" s="6">
        <v>1</v>
      </c>
      <c r="E206" s="6"/>
    </row>
    <row r="207" spans="1:17" ht="30" x14ac:dyDescent="0.25">
      <c r="A207" s="18" t="s">
        <v>322</v>
      </c>
      <c r="B207" s="7" t="s">
        <v>294</v>
      </c>
      <c r="C207" s="19"/>
      <c r="D207" s="6">
        <v>2</v>
      </c>
      <c r="E207" s="6"/>
    </row>
    <row r="208" spans="1:17" x14ac:dyDescent="0.25">
      <c r="A208" s="18" t="s">
        <v>323</v>
      </c>
      <c r="B208" s="7" t="s">
        <v>295</v>
      </c>
      <c r="C208" s="19"/>
      <c r="D208" s="6">
        <v>3</v>
      </c>
      <c r="E208" s="6"/>
    </row>
    <row r="209" spans="1:5" ht="30" x14ac:dyDescent="0.25">
      <c r="A209" s="18" t="s">
        <v>324</v>
      </c>
      <c r="B209" s="7" t="s">
        <v>296</v>
      </c>
      <c r="C209" s="19"/>
      <c r="D209" s="6">
        <v>1</v>
      </c>
      <c r="E209" s="6"/>
    </row>
    <row r="210" spans="1:5" ht="30" x14ac:dyDescent="0.25">
      <c r="A210" s="18" t="s">
        <v>325</v>
      </c>
      <c r="B210" s="7" t="s">
        <v>297</v>
      </c>
      <c r="C210" s="19"/>
      <c r="D210" s="6">
        <v>2</v>
      </c>
      <c r="E210" s="6"/>
    </row>
    <row r="211" spans="1:5" ht="30" x14ac:dyDescent="0.25">
      <c r="A211" s="18" t="s">
        <v>326</v>
      </c>
      <c r="B211" s="7" t="s">
        <v>298</v>
      </c>
      <c r="C211" s="19"/>
      <c r="D211" s="6">
        <v>3</v>
      </c>
      <c r="E211" s="6"/>
    </row>
    <row r="212" spans="1:5" ht="45" x14ac:dyDescent="0.25">
      <c r="A212" s="18" t="s">
        <v>327</v>
      </c>
      <c r="B212" s="7" t="s">
        <v>299</v>
      </c>
      <c r="C212" s="19"/>
      <c r="D212" s="6">
        <v>1</v>
      </c>
      <c r="E212" s="6"/>
    </row>
    <row r="213" spans="1:5" x14ac:dyDescent="0.25">
      <c r="A213" s="18" t="s">
        <v>328</v>
      </c>
      <c r="B213" s="7" t="s">
        <v>300</v>
      </c>
      <c r="C213" s="19"/>
      <c r="D213" s="6">
        <v>2</v>
      </c>
      <c r="E213" s="6"/>
    </row>
    <row r="214" spans="1:5" ht="30" x14ac:dyDescent="0.25">
      <c r="A214" s="18" t="s">
        <v>329</v>
      </c>
      <c r="B214" s="7" t="s">
        <v>301</v>
      </c>
      <c r="C214" s="19"/>
      <c r="D214" s="6">
        <v>2</v>
      </c>
      <c r="E214" s="6"/>
    </row>
    <row r="215" spans="1:5" ht="30" x14ac:dyDescent="0.25">
      <c r="A215" s="18" t="s">
        <v>330</v>
      </c>
      <c r="B215" s="7" t="s">
        <v>302</v>
      </c>
      <c r="C215" s="19"/>
      <c r="D215" s="6">
        <v>1</v>
      </c>
      <c r="E215" s="6"/>
    </row>
    <row r="216" spans="1:5" ht="30" x14ac:dyDescent="0.25">
      <c r="A216" s="18" t="s">
        <v>331</v>
      </c>
      <c r="B216" s="13" t="s">
        <v>303</v>
      </c>
      <c r="C216" s="19"/>
      <c r="D216" s="6">
        <v>3</v>
      </c>
      <c r="E216" s="6"/>
    </row>
    <row r="217" spans="1:5" ht="30" x14ac:dyDescent="0.25">
      <c r="A217" s="18" t="s">
        <v>332</v>
      </c>
      <c r="B217" s="7" t="s">
        <v>304</v>
      </c>
      <c r="C217" s="19"/>
      <c r="D217" s="6">
        <v>1</v>
      </c>
      <c r="E217" s="6"/>
    </row>
    <row r="218" spans="1:5" x14ac:dyDescent="0.25">
      <c r="A218" s="18" t="s">
        <v>333</v>
      </c>
      <c r="B218" s="7" t="s">
        <v>305</v>
      </c>
      <c r="C218" s="19"/>
      <c r="D218" s="6">
        <v>4</v>
      </c>
      <c r="E218" s="6"/>
    </row>
    <row r="219" spans="1:5" x14ac:dyDescent="0.25">
      <c r="A219" s="18" t="s">
        <v>334</v>
      </c>
      <c r="B219" s="7" t="s">
        <v>306</v>
      </c>
      <c r="C219" s="19"/>
      <c r="D219" s="6">
        <v>2</v>
      </c>
      <c r="E219" s="6"/>
    </row>
    <row r="220" spans="1:5" ht="30" x14ac:dyDescent="0.25">
      <c r="A220" s="18" t="s">
        <v>335</v>
      </c>
      <c r="B220" s="7" t="s">
        <v>307</v>
      </c>
      <c r="C220" s="19"/>
      <c r="D220" s="6">
        <v>3</v>
      </c>
      <c r="E220" s="6"/>
    </row>
    <row r="222" spans="1:5" x14ac:dyDescent="0.25">
      <c r="A222" s="40" t="s">
        <v>336</v>
      </c>
      <c r="B222" s="41"/>
      <c r="C222" s="41"/>
      <c r="D222" s="41"/>
      <c r="E222" s="41"/>
    </row>
    <row r="223" spans="1:5" x14ac:dyDescent="0.25">
      <c r="A223" s="41"/>
      <c r="B223" s="41"/>
      <c r="C223" s="41"/>
      <c r="D223" s="41"/>
      <c r="E223" s="41"/>
    </row>
  </sheetData>
  <mergeCells count="44">
    <mergeCell ref="G17:G19"/>
    <mergeCell ref="I22:M22"/>
    <mergeCell ref="F1:G1"/>
    <mergeCell ref="H1:L1"/>
    <mergeCell ref="M1:O1"/>
    <mergeCell ref="K2:K5"/>
    <mergeCell ref="L2:L5"/>
    <mergeCell ref="M2:M5"/>
    <mergeCell ref="N2:N5"/>
    <mergeCell ref="O2:O5"/>
    <mergeCell ref="J2:J5"/>
    <mergeCell ref="A190:E190"/>
    <mergeCell ref="A222:E223"/>
    <mergeCell ref="F2:F5"/>
    <mergeCell ref="G2:G5"/>
    <mergeCell ref="H2:H5"/>
    <mergeCell ref="I2:I5"/>
    <mergeCell ref="G9:H9"/>
    <mergeCell ref="G10:G11"/>
    <mergeCell ref="G12:G16"/>
    <mergeCell ref="C110:C133"/>
    <mergeCell ref="A136:E136"/>
    <mergeCell ref="A137:E137"/>
    <mergeCell ref="C139:C168"/>
    <mergeCell ref="A169:E169"/>
    <mergeCell ref="C171:C189"/>
    <mergeCell ref="C75:C83"/>
    <mergeCell ref="A84:E84"/>
    <mergeCell ref="C86:C98"/>
    <mergeCell ref="A99:E99"/>
    <mergeCell ref="C101:C107"/>
    <mergeCell ref="A108:E108"/>
    <mergeCell ref="C28:C49"/>
    <mergeCell ref="A50:E50"/>
    <mergeCell ref="A51:E51"/>
    <mergeCell ref="C60:C71"/>
    <mergeCell ref="C72:E72"/>
    <mergeCell ref="A73:E73"/>
    <mergeCell ref="A1:E1"/>
    <mergeCell ref="A2:B2"/>
    <mergeCell ref="A3:E3"/>
    <mergeCell ref="A4:E4"/>
    <mergeCell ref="C6:C25"/>
    <mergeCell ref="A26:E26"/>
  </mergeCells>
  <pageMargins left="0.7" right="0.7" top="0.75" bottom="0.75" header="0.3" footer="0.3"/>
  <pageSetup orientation="portrait" horizontalDpi="0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D11" sqref="D11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Эх хувь</vt:lpstr>
      <vt:lpstr>Амартайван</vt:lpstr>
      <vt:lpstr>Жишээ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2026-08-12T14:46:10Z</cp:lastPrinted>
  <dcterms:created xsi:type="dcterms:W3CDTF">2026-07-31T06:01:58Z</dcterms:created>
  <dcterms:modified xsi:type="dcterms:W3CDTF">2026-08-12T14:48:30Z</dcterms:modified>
</cp:coreProperties>
</file>